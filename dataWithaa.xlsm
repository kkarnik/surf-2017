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322" codeName="{00000000-0000-0000-0000-000000000000}"/>
  <workbookPr showInkAnnotation="0" codeName="ThisWorkbook" autoCompressPictures="0"/>
  <bookViews>
    <workbookView xWindow="29920" yWindow="3700" windowWidth="20780" windowHeight="21820" tabRatio="500" activeTab="1"/>
  </bookViews>
  <sheets>
    <sheet name="Sheet1" sheetId="1" r:id="rId1"/>
    <sheet name="aa codes" sheetId="2" r:id="rId2"/>
    <sheet name="Sheet2" sheetId="3" r:id="rId3"/>
    <sheet name="Sheet3" sheetId="4" r:id="rId4"/>
  </sheets>
  <definedNames>
    <definedName name="aafilterdata" localSheetId="0">Sheet1!$A$6:$AB$510</definedName>
    <definedName name="aafilterdata" localSheetId="3">Sheet3!$A$6:$AB$510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V2" i="4" l="1"/>
  <c r="U2" i="4"/>
  <c r="R506" i="4"/>
  <c r="Q506" i="4"/>
  <c r="P506" i="4"/>
  <c r="O506" i="4"/>
  <c r="C506" i="4"/>
  <c r="R505" i="4"/>
  <c r="Q505" i="4"/>
  <c r="P505" i="4"/>
  <c r="O505" i="4"/>
  <c r="C505" i="4"/>
  <c r="R504" i="4"/>
  <c r="Q504" i="4"/>
  <c r="P504" i="4"/>
  <c r="O504" i="4"/>
  <c r="C504" i="4"/>
  <c r="R503" i="4"/>
  <c r="Q503" i="4"/>
  <c r="P503" i="4"/>
  <c r="O503" i="4"/>
  <c r="C503" i="4"/>
  <c r="R502" i="4"/>
  <c r="Q502" i="4"/>
  <c r="P502" i="4"/>
  <c r="O502" i="4"/>
  <c r="C502" i="4"/>
  <c r="R501" i="4"/>
  <c r="Q501" i="4"/>
  <c r="P501" i="4"/>
  <c r="O501" i="4"/>
  <c r="C501" i="4"/>
  <c r="R500" i="4"/>
  <c r="Q500" i="4"/>
  <c r="P500" i="4"/>
  <c r="O500" i="4"/>
  <c r="C500" i="4"/>
  <c r="R499" i="4"/>
  <c r="Q499" i="4"/>
  <c r="P499" i="4"/>
  <c r="O499" i="4"/>
  <c r="C499" i="4"/>
  <c r="R498" i="4"/>
  <c r="Q498" i="4"/>
  <c r="P498" i="4"/>
  <c r="O498" i="4"/>
  <c r="C498" i="4"/>
  <c r="R497" i="4"/>
  <c r="Q497" i="4"/>
  <c r="P497" i="4"/>
  <c r="O497" i="4"/>
  <c r="C497" i="4"/>
  <c r="R496" i="4"/>
  <c r="Q496" i="4"/>
  <c r="P496" i="4"/>
  <c r="O496" i="4"/>
  <c r="C496" i="4"/>
  <c r="R495" i="4"/>
  <c r="Q495" i="4"/>
  <c r="P495" i="4"/>
  <c r="O495" i="4"/>
  <c r="C495" i="4"/>
  <c r="R494" i="4"/>
  <c r="Q494" i="4"/>
  <c r="P494" i="4"/>
  <c r="O494" i="4"/>
  <c r="C494" i="4"/>
  <c r="R493" i="4"/>
  <c r="Q493" i="4"/>
  <c r="P493" i="4"/>
  <c r="O493" i="4"/>
  <c r="C493" i="4"/>
  <c r="R492" i="4"/>
  <c r="Q492" i="4"/>
  <c r="P492" i="4"/>
  <c r="O492" i="4"/>
  <c r="C492" i="4"/>
  <c r="R491" i="4"/>
  <c r="Q491" i="4"/>
  <c r="P491" i="4"/>
  <c r="O491" i="4"/>
  <c r="C491" i="4"/>
  <c r="R490" i="4"/>
  <c r="Q490" i="4"/>
  <c r="P490" i="4"/>
  <c r="O490" i="4"/>
  <c r="C490" i="4"/>
  <c r="R489" i="4"/>
  <c r="Q489" i="4"/>
  <c r="P489" i="4"/>
  <c r="O489" i="4"/>
  <c r="C489" i="4"/>
  <c r="R488" i="4"/>
  <c r="Q488" i="4"/>
  <c r="P488" i="4"/>
  <c r="O488" i="4"/>
  <c r="C488" i="4"/>
  <c r="R487" i="4"/>
  <c r="Q487" i="4"/>
  <c r="P487" i="4"/>
  <c r="O487" i="4"/>
  <c r="C487" i="4"/>
  <c r="R486" i="4"/>
  <c r="Q486" i="4"/>
  <c r="P486" i="4"/>
  <c r="O486" i="4"/>
  <c r="C486" i="4"/>
  <c r="R485" i="4"/>
  <c r="Q485" i="4"/>
  <c r="P485" i="4"/>
  <c r="O485" i="4"/>
  <c r="C485" i="4"/>
  <c r="R484" i="4"/>
  <c r="Q484" i="4"/>
  <c r="P484" i="4"/>
  <c r="O484" i="4"/>
  <c r="C484" i="4"/>
  <c r="R483" i="4"/>
  <c r="Q483" i="4"/>
  <c r="P483" i="4"/>
  <c r="O483" i="4"/>
  <c r="C483" i="4"/>
  <c r="R482" i="4"/>
  <c r="Q482" i="4"/>
  <c r="P482" i="4"/>
  <c r="O482" i="4"/>
  <c r="C482" i="4"/>
  <c r="R481" i="4"/>
  <c r="Q481" i="4"/>
  <c r="P481" i="4"/>
  <c r="O481" i="4"/>
  <c r="C481" i="4"/>
  <c r="R480" i="4"/>
  <c r="Q480" i="4"/>
  <c r="P480" i="4"/>
  <c r="O480" i="4"/>
  <c r="C480" i="4"/>
  <c r="R479" i="4"/>
  <c r="Q479" i="4"/>
  <c r="P479" i="4"/>
  <c r="O479" i="4"/>
  <c r="C479" i="4"/>
  <c r="R478" i="4"/>
  <c r="Q478" i="4"/>
  <c r="P478" i="4"/>
  <c r="O478" i="4"/>
  <c r="C478" i="4"/>
  <c r="R477" i="4"/>
  <c r="Q477" i="4"/>
  <c r="P477" i="4"/>
  <c r="O477" i="4"/>
  <c r="C477" i="4"/>
  <c r="R476" i="4"/>
  <c r="Q476" i="4"/>
  <c r="P476" i="4"/>
  <c r="O476" i="4"/>
  <c r="C476" i="4"/>
  <c r="R475" i="4"/>
  <c r="Q475" i="4"/>
  <c r="P475" i="4"/>
  <c r="O475" i="4"/>
  <c r="C475" i="4"/>
  <c r="R474" i="4"/>
  <c r="Q474" i="4"/>
  <c r="P474" i="4"/>
  <c r="O474" i="4"/>
  <c r="C474" i="4"/>
  <c r="R473" i="4"/>
  <c r="Q473" i="4"/>
  <c r="P473" i="4"/>
  <c r="O473" i="4"/>
  <c r="C473" i="4"/>
  <c r="R472" i="4"/>
  <c r="Q472" i="4"/>
  <c r="P472" i="4"/>
  <c r="O472" i="4"/>
  <c r="C472" i="4"/>
  <c r="R471" i="4"/>
  <c r="Q471" i="4"/>
  <c r="P471" i="4"/>
  <c r="O471" i="4"/>
  <c r="C471" i="4"/>
  <c r="R470" i="4"/>
  <c r="Q470" i="4"/>
  <c r="P470" i="4"/>
  <c r="O470" i="4"/>
  <c r="C470" i="4"/>
  <c r="R469" i="4"/>
  <c r="Q469" i="4"/>
  <c r="P469" i="4"/>
  <c r="O469" i="4"/>
  <c r="C469" i="4"/>
  <c r="R468" i="4"/>
  <c r="Q468" i="4"/>
  <c r="P468" i="4"/>
  <c r="O468" i="4"/>
  <c r="C468" i="4"/>
  <c r="R467" i="4"/>
  <c r="Q467" i="4"/>
  <c r="P467" i="4"/>
  <c r="O467" i="4"/>
  <c r="C467" i="4"/>
  <c r="R466" i="4"/>
  <c r="Q466" i="4"/>
  <c r="P466" i="4"/>
  <c r="O466" i="4"/>
  <c r="C466" i="4"/>
  <c r="R465" i="4"/>
  <c r="Q465" i="4"/>
  <c r="P465" i="4"/>
  <c r="O465" i="4"/>
  <c r="C465" i="4"/>
  <c r="R464" i="4"/>
  <c r="Q464" i="4"/>
  <c r="P464" i="4"/>
  <c r="O464" i="4"/>
  <c r="C464" i="4"/>
  <c r="R463" i="4"/>
  <c r="Q463" i="4"/>
  <c r="P463" i="4"/>
  <c r="O463" i="4"/>
  <c r="C463" i="4"/>
  <c r="R462" i="4"/>
  <c r="Q462" i="4"/>
  <c r="P462" i="4"/>
  <c r="O462" i="4"/>
  <c r="C462" i="4"/>
  <c r="R461" i="4"/>
  <c r="Q461" i="4"/>
  <c r="P461" i="4"/>
  <c r="O461" i="4"/>
  <c r="C461" i="4"/>
  <c r="R460" i="4"/>
  <c r="Q460" i="4"/>
  <c r="P460" i="4"/>
  <c r="O460" i="4"/>
  <c r="C460" i="4"/>
  <c r="R459" i="4"/>
  <c r="Q459" i="4"/>
  <c r="P459" i="4"/>
  <c r="O459" i="4"/>
  <c r="C459" i="4"/>
  <c r="R458" i="4"/>
  <c r="Q458" i="4"/>
  <c r="P458" i="4"/>
  <c r="O458" i="4"/>
  <c r="C458" i="4"/>
  <c r="R457" i="4"/>
  <c r="Q457" i="4"/>
  <c r="P457" i="4"/>
  <c r="O457" i="4"/>
  <c r="C457" i="4"/>
  <c r="R456" i="4"/>
  <c r="Q456" i="4"/>
  <c r="P456" i="4"/>
  <c r="O456" i="4"/>
  <c r="C456" i="4"/>
  <c r="R455" i="4"/>
  <c r="Q455" i="4"/>
  <c r="P455" i="4"/>
  <c r="O455" i="4"/>
  <c r="C455" i="4"/>
  <c r="R454" i="4"/>
  <c r="Q454" i="4"/>
  <c r="P454" i="4"/>
  <c r="O454" i="4"/>
  <c r="C454" i="4"/>
  <c r="R453" i="4"/>
  <c r="Q453" i="4"/>
  <c r="P453" i="4"/>
  <c r="O453" i="4"/>
  <c r="C453" i="4"/>
  <c r="R452" i="4"/>
  <c r="Q452" i="4"/>
  <c r="P452" i="4"/>
  <c r="O452" i="4"/>
  <c r="C452" i="4"/>
  <c r="R451" i="4"/>
  <c r="Q451" i="4"/>
  <c r="P451" i="4"/>
  <c r="O451" i="4"/>
  <c r="C451" i="4"/>
  <c r="R450" i="4"/>
  <c r="Q450" i="4"/>
  <c r="P450" i="4"/>
  <c r="O450" i="4"/>
  <c r="C450" i="4"/>
  <c r="R449" i="4"/>
  <c r="Q449" i="4"/>
  <c r="P449" i="4"/>
  <c r="O449" i="4"/>
  <c r="C449" i="4"/>
  <c r="R448" i="4"/>
  <c r="Q448" i="4"/>
  <c r="P448" i="4"/>
  <c r="O448" i="4"/>
  <c r="C448" i="4"/>
  <c r="R447" i="4"/>
  <c r="Q447" i="4"/>
  <c r="P447" i="4"/>
  <c r="O447" i="4"/>
  <c r="C447" i="4"/>
  <c r="R446" i="4"/>
  <c r="Q446" i="4"/>
  <c r="P446" i="4"/>
  <c r="O446" i="4"/>
  <c r="C446" i="4"/>
  <c r="R445" i="4"/>
  <c r="Q445" i="4"/>
  <c r="P445" i="4"/>
  <c r="O445" i="4"/>
  <c r="C445" i="4"/>
  <c r="R444" i="4"/>
  <c r="Q444" i="4"/>
  <c r="P444" i="4"/>
  <c r="O444" i="4"/>
  <c r="C444" i="4"/>
  <c r="R443" i="4"/>
  <c r="Q443" i="4"/>
  <c r="P443" i="4"/>
  <c r="O443" i="4"/>
  <c r="C443" i="4"/>
  <c r="R442" i="4"/>
  <c r="Q442" i="4"/>
  <c r="P442" i="4"/>
  <c r="O442" i="4"/>
  <c r="C442" i="4"/>
  <c r="R441" i="4"/>
  <c r="Q441" i="4"/>
  <c r="P441" i="4"/>
  <c r="O441" i="4"/>
  <c r="C441" i="4"/>
  <c r="R440" i="4"/>
  <c r="Q440" i="4"/>
  <c r="P440" i="4"/>
  <c r="O440" i="4"/>
  <c r="C440" i="4"/>
  <c r="R439" i="4"/>
  <c r="Q439" i="4"/>
  <c r="P439" i="4"/>
  <c r="O439" i="4"/>
  <c r="C439" i="4"/>
  <c r="R438" i="4"/>
  <c r="Q438" i="4"/>
  <c r="P438" i="4"/>
  <c r="O438" i="4"/>
  <c r="C438" i="4"/>
  <c r="R437" i="4"/>
  <c r="Q437" i="4"/>
  <c r="P437" i="4"/>
  <c r="O437" i="4"/>
  <c r="C437" i="4"/>
  <c r="R436" i="4"/>
  <c r="Q436" i="4"/>
  <c r="P436" i="4"/>
  <c r="O436" i="4"/>
  <c r="C436" i="4"/>
  <c r="R435" i="4"/>
  <c r="Q435" i="4"/>
  <c r="P435" i="4"/>
  <c r="O435" i="4"/>
  <c r="C435" i="4"/>
  <c r="R434" i="4"/>
  <c r="Q434" i="4"/>
  <c r="P434" i="4"/>
  <c r="O434" i="4"/>
  <c r="C434" i="4"/>
  <c r="R433" i="4"/>
  <c r="Q433" i="4"/>
  <c r="P433" i="4"/>
  <c r="O433" i="4"/>
  <c r="C433" i="4"/>
  <c r="R432" i="4"/>
  <c r="Q432" i="4"/>
  <c r="P432" i="4"/>
  <c r="O432" i="4"/>
  <c r="C432" i="4"/>
  <c r="R431" i="4"/>
  <c r="Q431" i="4"/>
  <c r="P431" i="4"/>
  <c r="O431" i="4"/>
  <c r="C431" i="4"/>
  <c r="R430" i="4"/>
  <c r="Q430" i="4"/>
  <c r="P430" i="4"/>
  <c r="O430" i="4"/>
  <c r="C430" i="4"/>
  <c r="R429" i="4"/>
  <c r="Q429" i="4"/>
  <c r="P429" i="4"/>
  <c r="O429" i="4"/>
  <c r="C429" i="4"/>
  <c r="R428" i="4"/>
  <c r="Q428" i="4"/>
  <c r="P428" i="4"/>
  <c r="O428" i="4"/>
  <c r="C428" i="4"/>
  <c r="R427" i="4"/>
  <c r="Q427" i="4"/>
  <c r="P427" i="4"/>
  <c r="O427" i="4"/>
  <c r="C427" i="4"/>
  <c r="R426" i="4"/>
  <c r="Q426" i="4"/>
  <c r="P426" i="4"/>
  <c r="O426" i="4"/>
  <c r="C426" i="4"/>
  <c r="R425" i="4"/>
  <c r="Q425" i="4"/>
  <c r="P425" i="4"/>
  <c r="O425" i="4"/>
  <c r="C425" i="4"/>
  <c r="R424" i="4"/>
  <c r="Q424" i="4"/>
  <c r="P424" i="4"/>
  <c r="O424" i="4"/>
  <c r="C424" i="4"/>
  <c r="R423" i="4"/>
  <c r="Q423" i="4"/>
  <c r="P423" i="4"/>
  <c r="O423" i="4"/>
  <c r="C423" i="4"/>
  <c r="R422" i="4"/>
  <c r="Q422" i="4"/>
  <c r="P422" i="4"/>
  <c r="O422" i="4"/>
  <c r="C422" i="4"/>
  <c r="R421" i="4"/>
  <c r="Q421" i="4"/>
  <c r="P421" i="4"/>
  <c r="O421" i="4"/>
  <c r="C421" i="4"/>
  <c r="R420" i="4"/>
  <c r="Q420" i="4"/>
  <c r="P420" i="4"/>
  <c r="O420" i="4"/>
  <c r="C420" i="4"/>
  <c r="R419" i="4"/>
  <c r="Q419" i="4"/>
  <c r="P419" i="4"/>
  <c r="O419" i="4"/>
  <c r="C419" i="4"/>
  <c r="R418" i="4"/>
  <c r="Q418" i="4"/>
  <c r="P418" i="4"/>
  <c r="O418" i="4"/>
  <c r="C418" i="4"/>
  <c r="R417" i="4"/>
  <c r="Q417" i="4"/>
  <c r="P417" i="4"/>
  <c r="O417" i="4"/>
  <c r="C417" i="4"/>
  <c r="R416" i="4"/>
  <c r="Q416" i="4"/>
  <c r="P416" i="4"/>
  <c r="O416" i="4"/>
  <c r="C416" i="4"/>
  <c r="R415" i="4"/>
  <c r="Q415" i="4"/>
  <c r="P415" i="4"/>
  <c r="O415" i="4"/>
  <c r="C415" i="4"/>
  <c r="R414" i="4"/>
  <c r="Q414" i="4"/>
  <c r="P414" i="4"/>
  <c r="O414" i="4"/>
  <c r="C414" i="4"/>
  <c r="R413" i="4"/>
  <c r="Q413" i="4"/>
  <c r="P413" i="4"/>
  <c r="O413" i="4"/>
  <c r="C413" i="4"/>
  <c r="R412" i="4"/>
  <c r="Q412" i="4"/>
  <c r="P412" i="4"/>
  <c r="O412" i="4"/>
  <c r="C412" i="4"/>
  <c r="R411" i="4"/>
  <c r="Q411" i="4"/>
  <c r="P411" i="4"/>
  <c r="O411" i="4"/>
  <c r="C411" i="4"/>
  <c r="R410" i="4"/>
  <c r="Q410" i="4"/>
  <c r="P410" i="4"/>
  <c r="O410" i="4"/>
  <c r="C410" i="4"/>
  <c r="R409" i="4"/>
  <c r="Q409" i="4"/>
  <c r="P409" i="4"/>
  <c r="O409" i="4"/>
  <c r="C409" i="4"/>
  <c r="R408" i="4"/>
  <c r="Q408" i="4"/>
  <c r="P408" i="4"/>
  <c r="O408" i="4"/>
  <c r="C408" i="4"/>
  <c r="R407" i="4"/>
  <c r="Q407" i="4"/>
  <c r="P407" i="4"/>
  <c r="O407" i="4"/>
  <c r="C407" i="4"/>
  <c r="R406" i="4"/>
  <c r="Q406" i="4"/>
  <c r="P406" i="4"/>
  <c r="O406" i="4"/>
  <c r="C406" i="4"/>
  <c r="R405" i="4"/>
  <c r="Q405" i="4"/>
  <c r="P405" i="4"/>
  <c r="O405" i="4"/>
  <c r="C405" i="4"/>
  <c r="R404" i="4"/>
  <c r="Q404" i="4"/>
  <c r="P404" i="4"/>
  <c r="O404" i="4"/>
  <c r="C404" i="4"/>
  <c r="R403" i="4"/>
  <c r="Q403" i="4"/>
  <c r="P403" i="4"/>
  <c r="O403" i="4"/>
  <c r="C403" i="4"/>
  <c r="R402" i="4"/>
  <c r="Q402" i="4"/>
  <c r="P402" i="4"/>
  <c r="O402" i="4"/>
  <c r="C402" i="4"/>
  <c r="R401" i="4"/>
  <c r="Q401" i="4"/>
  <c r="P401" i="4"/>
  <c r="O401" i="4"/>
  <c r="C401" i="4"/>
  <c r="R400" i="4"/>
  <c r="Q400" i="4"/>
  <c r="P400" i="4"/>
  <c r="O400" i="4"/>
  <c r="C400" i="4"/>
  <c r="R399" i="4"/>
  <c r="Q399" i="4"/>
  <c r="P399" i="4"/>
  <c r="O399" i="4"/>
  <c r="C399" i="4"/>
  <c r="R398" i="4"/>
  <c r="Q398" i="4"/>
  <c r="P398" i="4"/>
  <c r="O398" i="4"/>
  <c r="C398" i="4"/>
  <c r="R397" i="4"/>
  <c r="Q397" i="4"/>
  <c r="P397" i="4"/>
  <c r="O397" i="4"/>
  <c r="C397" i="4"/>
  <c r="R396" i="4"/>
  <c r="Q396" i="4"/>
  <c r="P396" i="4"/>
  <c r="O396" i="4"/>
  <c r="C396" i="4"/>
  <c r="R395" i="4"/>
  <c r="Q395" i="4"/>
  <c r="P395" i="4"/>
  <c r="O395" i="4"/>
  <c r="C395" i="4"/>
  <c r="R394" i="4"/>
  <c r="Q394" i="4"/>
  <c r="P394" i="4"/>
  <c r="O394" i="4"/>
  <c r="C394" i="4"/>
  <c r="R393" i="4"/>
  <c r="Q393" i="4"/>
  <c r="P393" i="4"/>
  <c r="O393" i="4"/>
  <c r="C393" i="4"/>
  <c r="R392" i="4"/>
  <c r="Q392" i="4"/>
  <c r="P392" i="4"/>
  <c r="O392" i="4"/>
  <c r="C392" i="4"/>
  <c r="R391" i="4"/>
  <c r="Q391" i="4"/>
  <c r="P391" i="4"/>
  <c r="O391" i="4"/>
  <c r="C391" i="4"/>
  <c r="R390" i="4"/>
  <c r="Q390" i="4"/>
  <c r="P390" i="4"/>
  <c r="O390" i="4"/>
  <c r="C390" i="4"/>
  <c r="R389" i="4"/>
  <c r="Q389" i="4"/>
  <c r="P389" i="4"/>
  <c r="O389" i="4"/>
  <c r="C389" i="4"/>
  <c r="R388" i="4"/>
  <c r="Q388" i="4"/>
  <c r="P388" i="4"/>
  <c r="O388" i="4"/>
  <c r="C388" i="4"/>
  <c r="R387" i="4"/>
  <c r="Q387" i="4"/>
  <c r="P387" i="4"/>
  <c r="O387" i="4"/>
  <c r="C387" i="4"/>
  <c r="R386" i="4"/>
  <c r="Q386" i="4"/>
  <c r="P386" i="4"/>
  <c r="O386" i="4"/>
  <c r="C386" i="4"/>
  <c r="R385" i="4"/>
  <c r="Q385" i="4"/>
  <c r="P385" i="4"/>
  <c r="O385" i="4"/>
  <c r="C385" i="4"/>
  <c r="R384" i="4"/>
  <c r="Q384" i="4"/>
  <c r="P384" i="4"/>
  <c r="O384" i="4"/>
  <c r="C384" i="4"/>
  <c r="R383" i="4"/>
  <c r="Q383" i="4"/>
  <c r="P383" i="4"/>
  <c r="O383" i="4"/>
  <c r="C383" i="4"/>
  <c r="R382" i="4"/>
  <c r="Q382" i="4"/>
  <c r="P382" i="4"/>
  <c r="O382" i="4"/>
  <c r="C382" i="4"/>
  <c r="R381" i="4"/>
  <c r="Q381" i="4"/>
  <c r="P381" i="4"/>
  <c r="O381" i="4"/>
  <c r="C381" i="4"/>
  <c r="R380" i="4"/>
  <c r="Q380" i="4"/>
  <c r="P380" i="4"/>
  <c r="O380" i="4"/>
  <c r="C380" i="4"/>
  <c r="R379" i="4"/>
  <c r="Q379" i="4"/>
  <c r="P379" i="4"/>
  <c r="O379" i="4"/>
  <c r="C379" i="4"/>
  <c r="R378" i="4"/>
  <c r="Q378" i="4"/>
  <c r="P378" i="4"/>
  <c r="O378" i="4"/>
  <c r="C378" i="4"/>
  <c r="R377" i="4"/>
  <c r="Q377" i="4"/>
  <c r="P377" i="4"/>
  <c r="O377" i="4"/>
  <c r="C377" i="4"/>
  <c r="R376" i="4"/>
  <c r="Q376" i="4"/>
  <c r="P376" i="4"/>
  <c r="O376" i="4"/>
  <c r="C376" i="4"/>
  <c r="R375" i="4"/>
  <c r="Q375" i="4"/>
  <c r="P375" i="4"/>
  <c r="O375" i="4"/>
  <c r="C375" i="4"/>
  <c r="R374" i="4"/>
  <c r="Q374" i="4"/>
  <c r="P374" i="4"/>
  <c r="O374" i="4"/>
  <c r="C374" i="4"/>
  <c r="R373" i="4"/>
  <c r="Q373" i="4"/>
  <c r="P373" i="4"/>
  <c r="O373" i="4"/>
  <c r="C373" i="4"/>
  <c r="R372" i="4"/>
  <c r="Q372" i="4"/>
  <c r="P372" i="4"/>
  <c r="O372" i="4"/>
  <c r="C372" i="4"/>
  <c r="R371" i="4"/>
  <c r="Q371" i="4"/>
  <c r="P371" i="4"/>
  <c r="O371" i="4"/>
  <c r="C371" i="4"/>
  <c r="R370" i="4"/>
  <c r="Q370" i="4"/>
  <c r="P370" i="4"/>
  <c r="O370" i="4"/>
  <c r="C370" i="4"/>
  <c r="R369" i="4"/>
  <c r="Q369" i="4"/>
  <c r="P369" i="4"/>
  <c r="O369" i="4"/>
  <c r="C369" i="4"/>
  <c r="R368" i="4"/>
  <c r="Q368" i="4"/>
  <c r="P368" i="4"/>
  <c r="O368" i="4"/>
  <c r="C368" i="4"/>
  <c r="R367" i="4"/>
  <c r="Q367" i="4"/>
  <c r="P367" i="4"/>
  <c r="O367" i="4"/>
  <c r="C367" i="4"/>
  <c r="R366" i="4"/>
  <c r="Q366" i="4"/>
  <c r="P366" i="4"/>
  <c r="O366" i="4"/>
  <c r="C366" i="4"/>
  <c r="R365" i="4"/>
  <c r="Q365" i="4"/>
  <c r="P365" i="4"/>
  <c r="O365" i="4"/>
  <c r="C365" i="4"/>
  <c r="R364" i="4"/>
  <c r="Q364" i="4"/>
  <c r="P364" i="4"/>
  <c r="O364" i="4"/>
  <c r="C364" i="4"/>
  <c r="R363" i="4"/>
  <c r="Q363" i="4"/>
  <c r="P363" i="4"/>
  <c r="O363" i="4"/>
  <c r="C363" i="4"/>
  <c r="R362" i="4"/>
  <c r="Q362" i="4"/>
  <c r="P362" i="4"/>
  <c r="O362" i="4"/>
  <c r="C362" i="4"/>
  <c r="R361" i="4"/>
  <c r="Q361" i="4"/>
  <c r="P361" i="4"/>
  <c r="O361" i="4"/>
  <c r="C361" i="4"/>
  <c r="R360" i="4"/>
  <c r="Q360" i="4"/>
  <c r="P360" i="4"/>
  <c r="O360" i="4"/>
  <c r="C360" i="4"/>
  <c r="R359" i="4"/>
  <c r="Q359" i="4"/>
  <c r="P359" i="4"/>
  <c r="O359" i="4"/>
  <c r="C359" i="4"/>
  <c r="R358" i="4"/>
  <c r="Q358" i="4"/>
  <c r="P358" i="4"/>
  <c r="O358" i="4"/>
  <c r="C358" i="4"/>
  <c r="R357" i="4"/>
  <c r="Q357" i="4"/>
  <c r="P357" i="4"/>
  <c r="O357" i="4"/>
  <c r="C357" i="4"/>
  <c r="R356" i="4"/>
  <c r="Q356" i="4"/>
  <c r="P356" i="4"/>
  <c r="O356" i="4"/>
  <c r="C356" i="4"/>
  <c r="R355" i="4"/>
  <c r="Q355" i="4"/>
  <c r="P355" i="4"/>
  <c r="O355" i="4"/>
  <c r="C355" i="4"/>
  <c r="R354" i="4"/>
  <c r="Q354" i="4"/>
  <c r="P354" i="4"/>
  <c r="O354" i="4"/>
  <c r="C354" i="4"/>
  <c r="R353" i="4"/>
  <c r="Q353" i="4"/>
  <c r="P353" i="4"/>
  <c r="O353" i="4"/>
  <c r="C353" i="4"/>
  <c r="R352" i="4"/>
  <c r="Q352" i="4"/>
  <c r="P352" i="4"/>
  <c r="O352" i="4"/>
  <c r="C352" i="4"/>
  <c r="R351" i="4"/>
  <c r="Q351" i="4"/>
  <c r="P351" i="4"/>
  <c r="O351" i="4"/>
  <c r="C351" i="4"/>
  <c r="R350" i="4"/>
  <c r="Q350" i="4"/>
  <c r="P350" i="4"/>
  <c r="O350" i="4"/>
  <c r="C350" i="4"/>
  <c r="R349" i="4"/>
  <c r="Q349" i="4"/>
  <c r="P349" i="4"/>
  <c r="O349" i="4"/>
  <c r="C349" i="4"/>
  <c r="R348" i="4"/>
  <c r="Q348" i="4"/>
  <c r="P348" i="4"/>
  <c r="O348" i="4"/>
  <c r="C348" i="4"/>
  <c r="R347" i="4"/>
  <c r="Q347" i="4"/>
  <c r="P347" i="4"/>
  <c r="O347" i="4"/>
  <c r="C347" i="4"/>
  <c r="R346" i="4"/>
  <c r="Q346" i="4"/>
  <c r="P346" i="4"/>
  <c r="O346" i="4"/>
  <c r="C346" i="4"/>
  <c r="R345" i="4"/>
  <c r="Q345" i="4"/>
  <c r="P345" i="4"/>
  <c r="O345" i="4"/>
  <c r="C345" i="4"/>
  <c r="R344" i="4"/>
  <c r="Q344" i="4"/>
  <c r="P344" i="4"/>
  <c r="O344" i="4"/>
  <c r="C344" i="4"/>
  <c r="R343" i="4"/>
  <c r="Q343" i="4"/>
  <c r="P343" i="4"/>
  <c r="O343" i="4"/>
  <c r="C343" i="4"/>
  <c r="R342" i="4"/>
  <c r="Q342" i="4"/>
  <c r="P342" i="4"/>
  <c r="O342" i="4"/>
  <c r="C342" i="4"/>
  <c r="R341" i="4"/>
  <c r="Q341" i="4"/>
  <c r="P341" i="4"/>
  <c r="O341" i="4"/>
  <c r="C341" i="4"/>
  <c r="R340" i="4"/>
  <c r="Q340" i="4"/>
  <c r="P340" i="4"/>
  <c r="O340" i="4"/>
  <c r="C340" i="4"/>
  <c r="R339" i="4"/>
  <c r="Q339" i="4"/>
  <c r="P339" i="4"/>
  <c r="O339" i="4"/>
  <c r="C339" i="4"/>
  <c r="R338" i="4"/>
  <c r="Q338" i="4"/>
  <c r="P338" i="4"/>
  <c r="O338" i="4"/>
  <c r="C338" i="4"/>
  <c r="R337" i="4"/>
  <c r="Q337" i="4"/>
  <c r="P337" i="4"/>
  <c r="O337" i="4"/>
  <c r="C337" i="4"/>
  <c r="R336" i="4"/>
  <c r="Q336" i="4"/>
  <c r="P336" i="4"/>
  <c r="O336" i="4"/>
  <c r="C336" i="4"/>
  <c r="R335" i="4"/>
  <c r="Q335" i="4"/>
  <c r="P335" i="4"/>
  <c r="O335" i="4"/>
  <c r="C335" i="4"/>
  <c r="R334" i="4"/>
  <c r="Q334" i="4"/>
  <c r="P334" i="4"/>
  <c r="O334" i="4"/>
  <c r="C334" i="4"/>
  <c r="R333" i="4"/>
  <c r="Q333" i="4"/>
  <c r="P333" i="4"/>
  <c r="O333" i="4"/>
  <c r="C333" i="4"/>
  <c r="R332" i="4"/>
  <c r="Q332" i="4"/>
  <c r="P332" i="4"/>
  <c r="O332" i="4"/>
  <c r="C332" i="4"/>
  <c r="R331" i="4"/>
  <c r="Q331" i="4"/>
  <c r="P331" i="4"/>
  <c r="O331" i="4"/>
  <c r="C331" i="4"/>
  <c r="R330" i="4"/>
  <c r="Q330" i="4"/>
  <c r="P330" i="4"/>
  <c r="O330" i="4"/>
  <c r="C330" i="4"/>
  <c r="R329" i="4"/>
  <c r="Q329" i="4"/>
  <c r="P329" i="4"/>
  <c r="O329" i="4"/>
  <c r="C329" i="4"/>
  <c r="R328" i="4"/>
  <c r="Q328" i="4"/>
  <c r="P328" i="4"/>
  <c r="O328" i="4"/>
  <c r="C328" i="4"/>
  <c r="R327" i="4"/>
  <c r="Q327" i="4"/>
  <c r="P327" i="4"/>
  <c r="O327" i="4"/>
  <c r="C327" i="4"/>
  <c r="R326" i="4"/>
  <c r="Q326" i="4"/>
  <c r="P326" i="4"/>
  <c r="O326" i="4"/>
  <c r="C326" i="4"/>
  <c r="R325" i="4"/>
  <c r="Q325" i="4"/>
  <c r="P325" i="4"/>
  <c r="O325" i="4"/>
  <c r="C325" i="4"/>
  <c r="R324" i="4"/>
  <c r="Q324" i="4"/>
  <c r="P324" i="4"/>
  <c r="O324" i="4"/>
  <c r="C324" i="4"/>
  <c r="R323" i="4"/>
  <c r="Q323" i="4"/>
  <c r="P323" i="4"/>
  <c r="O323" i="4"/>
  <c r="C323" i="4"/>
  <c r="R322" i="4"/>
  <c r="Q322" i="4"/>
  <c r="P322" i="4"/>
  <c r="O322" i="4"/>
  <c r="C322" i="4"/>
  <c r="R321" i="4"/>
  <c r="Q321" i="4"/>
  <c r="P321" i="4"/>
  <c r="O321" i="4"/>
  <c r="C321" i="4"/>
  <c r="R320" i="4"/>
  <c r="Q320" i="4"/>
  <c r="P320" i="4"/>
  <c r="O320" i="4"/>
  <c r="C320" i="4"/>
  <c r="R319" i="4"/>
  <c r="Q319" i="4"/>
  <c r="P319" i="4"/>
  <c r="O319" i="4"/>
  <c r="C319" i="4"/>
  <c r="R318" i="4"/>
  <c r="Q318" i="4"/>
  <c r="P318" i="4"/>
  <c r="O318" i="4"/>
  <c r="C318" i="4"/>
  <c r="R317" i="4"/>
  <c r="Q317" i="4"/>
  <c r="P317" i="4"/>
  <c r="O317" i="4"/>
  <c r="C317" i="4"/>
  <c r="R316" i="4"/>
  <c r="Q316" i="4"/>
  <c r="P316" i="4"/>
  <c r="O316" i="4"/>
  <c r="C316" i="4"/>
  <c r="R315" i="4"/>
  <c r="Q315" i="4"/>
  <c r="P315" i="4"/>
  <c r="O315" i="4"/>
  <c r="C315" i="4"/>
  <c r="R314" i="4"/>
  <c r="Q314" i="4"/>
  <c r="P314" i="4"/>
  <c r="O314" i="4"/>
  <c r="C314" i="4"/>
  <c r="R313" i="4"/>
  <c r="Q313" i="4"/>
  <c r="P313" i="4"/>
  <c r="O313" i="4"/>
  <c r="C313" i="4"/>
  <c r="R312" i="4"/>
  <c r="Q312" i="4"/>
  <c r="P312" i="4"/>
  <c r="O312" i="4"/>
  <c r="C312" i="4"/>
  <c r="R311" i="4"/>
  <c r="Q311" i="4"/>
  <c r="P311" i="4"/>
  <c r="O311" i="4"/>
  <c r="C311" i="4"/>
  <c r="R310" i="4"/>
  <c r="Q310" i="4"/>
  <c r="P310" i="4"/>
  <c r="O310" i="4"/>
  <c r="C310" i="4"/>
  <c r="R309" i="4"/>
  <c r="Q309" i="4"/>
  <c r="P309" i="4"/>
  <c r="O309" i="4"/>
  <c r="C309" i="4"/>
  <c r="R308" i="4"/>
  <c r="Q308" i="4"/>
  <c r="P308" i="4"/>
  <c r="O308" i="4"/>
  <c r="C308" i="4"/>
  <c r="R307" i="4"/>
  <c r="Q307" i="4"/>
  <c r="P307" i="4"/>
  <c r="O307" i="4"/>
  <c r="C307" i="4"/>
  <c r="R306" i="4"/>
  <c r="Q306" i="4"/>
  <c r="P306" i="4"/>
  <c r="O306" i="4"/>
  <c r="C306" i="4"/>
  <c r="R305" i="4"/>
  <c r="Q305" i="4"/>
  <c r="P305" i="4"/>
  <c r="O305" i="4"/>
  <c r="C305" i="4"/>
  <c r="R304" i="4"/>
  <c r="Q304" i="4"/>
  <c r="P304" i="4"/>
  <c r="O304" i="4"/>
  <c r="C304" i="4"/>
  <c r="R303" i="4"/>
  <c r="Q303" i="4"/>
  <c r="P303" i="4"/>
  <c r="O303" i="4"/>
  <c r="C303" i="4"/>
  <c r="R302" i="4"/>
  <c r="Q302" i="4"/>
  <c r="P302" i="4"/>
  <c r="O302" i="4"/>
  <c r="C302" i="4"/>
  <c r="R301" i="4"/>
  <c r="Q301" i="4"/>
  <c r="P301" i="4"/>
  <c r="O301" i="4"/>
  <c r="C301" i="4"/>
  <c r="R300" i="4"/>
  <c r="Q300" i="4"/>
  <c r="P300" i="4"/>
  <c r="O300" i="4"/>
  <c r="C300" i="4"/>
  <c r="R299" i="4"/>
  <c r="Q299" i="4"/>
  <c r="P299" i="4"/>
  <c r="O299" i="4"/>
  <c r="C299" i="4"/>
  <c r="R298" i="4"/>
  <c r="Q298" i="4"/>
  <c r="P298" i="4"/>
  <c r="O298" i="4"/>
  <c r="C298" i="4"/>
  <c r="R297" i="4"/>
  <c r="Q297" i="4"/>
  <c r="P297" i="4"/>
  <c r="O297" i="4"/>
  <c r="C297" i="4"/>
  <c r="R296" i="4"/>
  <c r="Q296" i="4"/>
  <c r="P296" i="4"/>
  <c r="O296" i="4"/>
  <c r="C296" i="4"/>
  <c r="R295" i="4"/>
  <c r="Q295" i="4"/>
  <c r="P295" i="4"/>
  <c r="O295" i="4"/>
  <c r="C295" i="4"/>
  <c r="R294" i="4"/>
  <c r="Q294" i="4"/>
  <c r="P294" i="4"/>
  <c r="O294" i="4"/>
  <c r="C294" i="4"/>
  <c r="R293" i="4"/>
  <c r="Q293" i="4"/>
  <c r="P293" i="4"/>
  <c r="O293" i="4"/>
  <c r="C293" i="4"/>
  <c r="R292" i="4"/>
  <c r="Q292" i="4"/>
  <c r="P292" i="4"/>
  <c r="O292" i="4"/>
  <c r="C292" i="4"/>
  <c r="R291" i="4"/>
  <c r="Q291" i="4"/>
  <c r="P291" i="4"/>
  <c r="O291" i="4"/>
  <c r="C291" i="4"/>
  <c r="R290" i="4"/>
  <c r="Q290" i="4"/>
  <c r="P290" i="4"/>
  <c r="O290" i="4"/>
  <c r="C290" i="4"/>
  <c r="R289" i="4"/>
  <c r="Q289" i="4"/>
  <c r="P289" i="4"/>
  <c r="O289" i="4"/>
  <c r="C289" i="4"/>
  <c r="R288" i="4"/>
  <c r="Q288" i="4"/>
  <c r="P288" i="4"/>
  <c r="O288" i="4"/>
  <c r="C288" i="4"/>
  <c r="R287" i="4"/>
  <c r="Q287" i="4"/>
  <c r="P287" i="4"/>
  <c r="O287" i="4"/>
  <c r="C287" i="4"/>
  <c r="R286" i="4"/>
  <c r="Q286" i="4"/>
  <c r="P286" i="4"/>
  <c r="O286" i="4"/>
  <c r="C286" i="4"/>
  <c r="R285" i="4"/>
  <c r="Q285" i="4"/>
  <c r="P285" i="4"/>
  <c r="O285" i="4"/>
  <c r="C285" i="4"/>
  <c r="R284" i="4"/>
  <c r="Q284" i="4"/>
  <c r="P284" i="4"/>
  <c r="O284" i="4"/>
  <c r="C284" i="4"/>
  <c r="R283" i="4"/>
  <c r="Q283" i="4"/>
  <c r="P283" i="4"/>
  <c r="O283" i="4"/>
  <c r="C283" i="4"/>
  <c r="R282" i="4"/>
  <c r="Q282" i="4"/>
  <c r="P282" i="4"/>
  <c r="O282" i="4"/>
  <c r="C282" i="4"/>
  <c r="R281" i="4"/>
  <c r="Q281" i="4"/>
  <c r="P281" i="4"/>
  <c r="O281" i="4"/>
  <c r="C281" i="4"/>
  <c r="R280" i="4"/>
  <c r="Q280" i="4"/>
  <c r="P280" i="4"/>
  <c r="O280" i="4"/>
  <c r="C280" i="4"/>
  <c r="R279" i="4"/>
  <c r="Q279" i="4"/>
  <c r="P279" i="4"/>
  <c r="O279" i="4"/>
  <c r="C279" i="4"/>
  <c r="R278" i="4"/>
  <c r="Q278" i="4"/>
  <c r="P278" i="4"/>
  <c r="O278" i="4"/>
  <c r="C278" i="4"/>
  <c r="R277" i="4"/>
  <c r="Q277" i="4"/>
  <c r="P277" i="4"/>
  <c r="O277" i="4"/>
  <c r="C277" i="4"/>
  <c r="R276" i="4"/>
  <c r="Q276" i="4"/>
  <c r="P276" i="4"/>
  <c r="O276" i="4"/>
  <c r="C276" i="4"/>
  <c r="R275" i="4"/>
  <c r="Q275" i="4"/>
  <c r="P275" i="4"/>
  <c r="O275" i="4"/>
  <c r="C275" i="4"/>
  <c r="R274" i="4"/>
  <c r="Q274" i="4"/>
  <c r="P274" i="4"/>
  <c r="O274" i="4"/>
  <c r="C274" i="4"/>
  <c r="R273" i="4"/>
  <c r="Q273" i="4"/>
  <c r="P273" i="4"/>
  <c r="O273" i="4"/>
  <c r="C273" i="4"/>
  <c r="R272" i="4"/>
  <c r="Q272" i="4"/>
  <c r="P272" i="4"/>
  <c r="O272" i="4"/>
  <c r="C272" i="4"/>
  <c r="R271" i="4"/>
  <c r="Q271" i="4"/>
  <c r="P271" i="4"/>
  <c r="O271" i="4"/>
  <c r="C271" i="4"/>
  <c r="R270" i="4"/>
  <c r="Q270" i="4"/>
  <c r="P270" i="4"/>
  <c r="O270" i="4"/>
  <c r="C270" i="4"/>
  <c r="R269" i="4"/>
  <c r="Q269" i="4"/>
  <c r="P269" i="4"/>
  <c r="O269" i="4"/>
  <c r="C269" i="4"/>
  <c r="R268" i="4"/>
  <c r="Q268" i="4"/>
  <c r="P268" i="4"/>
  <c r="O268" i="4"/>
  <c r="C268" i="4"/>
  <c r="R267" i="4"/>
  <c r="Q267" i="4"/>
  <c r="P267" i="4"/>
  <c r="O267" i="4"/>
  <c r="C267" i="4"/>
  <c r="R266" i="4"/>
  <c r="Q266" i="4"/>
  <c r="P266" i="4"/>
  <c r="O266" i="4"/>
  <c r="C266" i="4"/>
  <c r="R265" i="4"/>
  <c r="Q265" i="4"/>
  <c r="P265" i="4"/>
  <c r="O265" i="4"/>
  <c r="C265" i="4"/>
  <c r="R264" i="4"/>
  <c r="Q264" i="4"/>
  <c r="P264" i="4"/>
  <c r="O264" i="4"/>
  <c r="C264" i="4"/>
  <c r="R263" i="4"/>
  <c r="Q263" i="4"/>
  <c r="P263" i="4"/>
  <c r="O263" i="4"/>
  <c r="C263" i="4"/>
  <c r="R262" i="4"/>
  <c r="Q262" i="4"/>
  <c r="P262" i="4"/>
  <c r="O262" i="4"/>
  <c r="C262" i="4"/>
  <c r="R261" i="4"/>
  <c r="Q261" i="4"/>
  <c r="P261" i="4"/>
  <c r="O261" i="4"/>
  <c r="C261" i="4"/>
  <c r="R260" i="4"/>
  <c r="Q260" i="4"/>
  <c r="P260" i="4"/>
  <c r="O260" i="4"/>
  <c r="C260" i="4"/>
  <c r="R259" i="4"/>
  <c r="Q259" i="4"/>
  <c r="P259" i="4"/>
  <c r="O259" i="4"/>
  <c r="C259" i="4"/>
  <c r="R258" i="4"/>
  <c r="Q258" i="4"/>
  <c r="P258" i="4"/>
  <c r="O258" i="4"/>
  <c r="C258" i="4"/>
  <c r="R257" i="4"/>
  <c r="Q257" i="4"/>
  <c r="P257" i="4"/>
  <c r="O257" i="4"/>
  <c r="C257" i="4"/>
  <c r="R256" i="4"/>
  <c r="Q256" i="4"/>
  <c r="P256" i="4"/>
  <c r="O256" i="4"/>
  <c r="C256" i="4"/>
  <c r="R255" i="4"/>
  <c r="Q255" i="4"/>
  <c r="P255" i="4"/>
  <c r="O255" i="4"/>
  <c r="C255" i="4"/>
  <c r="R254" i="4"/>
  <c r="Q254" i="4"/>
  <c r="P254" i="4"/>
  <c r="O254" i="4"/>
  <c r="C254" i="4"/>
  <c r="R253" i="4"/>
  <c r="Q253" i="4"/>
  <c r="P253" i="4"/>
  <c r="O253" i="4"/>
  <c r="C253" i="4"/>
  <c r="R252" i="4"/>
  <c r="Q252" i="4"/>
  <c r="P252" i="4"/>
  <c r="O252" i="4"/>
  <c r="C252" i="4"/>
  <c r="R251" i="4"/>
  <c r="Q251" i="4"/>
  <c r="P251" i="4"/>
  <c r="O251" i="4"/>
  <c r="C251" i="4"/>
  <c r="R250" i="4"/>
  <c r="Q250" i="4"/>
  <c r="P250" i="4"/>
  <c r="O250" i="4"/>
  <c r="C250" i="4"/>
  <c r="R249" i="4"/>
  <c r="Q249" i="4"/>
  <c r="P249" i="4"/>
  <c r="O249" i="4"/>
  <c r="C249" i="4"/>
  <c r="R248" i="4"/>
  <c r="Q248" i="4"/>
  <c r="P248" i="4"/>
  <c r="O248" i="4"/>
  <c r="C248" i="4"/>
  <c r="R247" i="4"/>
  <c r="Q247" i="4"/>
  <c r="P247" i="4"/>
  <c r="O247" i="4"/>
  <c r="C247" i="4"/>
  <c r="R246" i="4"/>
  <c r="Q246" i="4"/>
  <c r="P246" i="4"/>
  <c r="O246" i="4"/>
  <c r="C246" i="4"/>
  <c r="R245" i="4"/>
  <c r="Q245" i="4"/>
  <c r="P245" i="4"/>
  <c r="O245" i="4"/>
  <c r="C245" i="4"/>
  <c r="R244" i="4"/>
  <c r="Q244" i="4"/>
  <c r="P244" i="4"/>
  <c r="O244" i="4"/>
  <c r="C244" i="4"/>
  <c r="R243" i="4"/>
  <c r="Q243" i="4"/>
  <c r="P243" i="4"/>
  <c r="O243" i="4"/>
  <c r="C243" i="4"/>
  <c r="R242" i="4"/>
  <c r="Q242" i="4"/>
  <c r="P242" i="4"/>
  <c r="O242" i="4"/>
  <c r="C242" i="4"/>
  <c r="R241" i="4"/>
  <c r="Q241" i="4"/>
  <c r="P241" i="4"/>
  <c r="O241" i="4"/>
  <c r="C241" i="4"/>
  <c r="R240" i="4"/>
  <c r="Q240" i="4"/>
  <c r="P240" i="4"/>
  <c r="O240" i="4"/>
  <c r="C240" i="4"/>
  <c r="R239" i="4"/>
  <c r="Q239" i="4"/>
  <c r="P239" i="4"/>
  <c r="O239" i="4"/>
  <c r="C239" i="4"/>
  <c r="R238" i="4"/>
  <c r="Q238" i="4"/>
  <c r="P238" i="4"/>
  <c r="O238" i="4"/>
  <c r="C238" i="4"/>
  <c r="R237" i="4"/>
  <c r="Q237" i="4"/>
  <c r="P237" i="4"/>
  <c r="O237" i="4"/>
  <c r="C237" i="4"/>
  <c r="R236" i="4"/>
  <c r="Q236" i="4"/>
  <c r="P236" i="4"/>
  <c r="O236" i="4"/>
  <c r="C236" i="4"/>
  <c r="R235" i="4"/>
  <c r="Q235" i="4"/>
  <c r="P235" i="4"/>
  <c r="O235" i="4"/>
  <c r="C235" i="4"/>
  <c r="R234" i="4"/>
  <c r="Q234" i="4"/>
  <c r="P234" i="4"/>
  <c r="O234" i="4"/>
  <c r="C234" i="4"/>
  <c r="R233" i="4"/>
  <c r="Q233" i="4"/>
  <c r="P233" i="4"/>
  <c r="O233" i="4"/>
  <c r="C233" i="4"/>
  <c r="R232" i="4"/>
  <c r="Q232" i="4"/>
  <c r="P232" i="4"/>
  <c r="O232" i="4"/>
  <c r="C232" i="4"/>
  <c r="R231" i="4"/>
  <c r="Q231" i="4"/>
  <c r="P231" i="4"/>
  <c r="O231" i="4"/>
  <c r="C231" i="4"/>
  <c r="R230" i="4"/>
  <c r="Q230" i="4"/>
  <c r="P230" i="4"/>
  <c r="O230" i="4"/>
  <c r="C230" i="4"/>
  <c r="R229" i="4"/>
  <c r="Q229" i="4"/>
  <c r="P229" i="4"/>
  <c r="O229" i="4"/>
  <c r="C229" i="4"/>
  <c r="R228" i="4"/>
  <c r="Q228" i="4"/>
  <c r="P228" i="4"/>
  <c r="O228" i="4"/>
  <c r="C228" i="4"/>
  <c r="R227" i="4"/>
  <c r="Q227" i="4"/>
  <c r="P227" i="4"/>
  <c r="O227" i="4"/>
  <c r="C227" i="4"/>
  <c r="R226" i="4"/>
  <c r="Q226" i="4"/>
  <c r="P226" i="4"/>
  <c r="O226" i="4"/>
  <c r="C226" i="4"/>
  <c r="R225" i="4"/>
  <c r="Q225" i="4"/>
  <c r="P225" i="4"/>
  <c r="O225" i="4"/>
  <c r="C225" i="4"/>
  <c r="R224" i="4"/>
  <c r="Q224" i="4"/>
  <c r="P224" i="4"/>
  <c r="O224" i="4"/>
  <c r="C224" i="4"/>
  <c r="R223" i="4"/>
  <c r="Q223" i="4"/>
  <c r="P223" i="4"/>
  <c r="O223" i="4"/>
  <c r="C223" i="4"/>
  <c r="R222" i="4"/>
  <c r="Q222" i="4"/>
  <c r="P222" i="4"/>
  <c r="O222" i="4"/>
  <c r="C222" i="4"/>
  <c r="R221" i="4"/>
  <c r="Q221" i="4"/>
  <c r="P221" i="4"/>
  <c r="O221" i="4"/>
  <c r="C221" i="4"/>
  <c r="R220" i="4"/>
  <c r="Q220" i="4"/>
  <c r="P220" i="4"/>
  <c r="O220" i="4"/>
  <c r="C220" i="4"/>
  <c r="R219" i="4"/>
  <c r="Q219" i="4"/>
  <c r="P219" i="4"/>
  <c r="O219" i="4"/>
  <c r="C219" i="4"/>
  <c r="R218" i="4"/>
  <c r="Q218" i="4"/>
  <c r="P218" i="4"/>
  <c r="O218" i="4"/>
  <c r="C218" i="4"/>
  <c r="R217" i="4"/>
  <c r="Q217" i="4"/>
  <c r="P217" i="4"/>
  <c r="O217" i="4"/>
  <c r="C217" i="4"/>
  <c r="R216" i="4"/>
  <c r="Q216" i="4"/>
  <c r="P216" i="4"/>
  <c r="O216" i="4"/>
  <c r="C216" i="4"/>
  <c r="R215" i="4"/>
  <c r="Q215" i="4"/>
  <c r="P215" i="4"/>
  <c r="O215" i="4"/>
  <c r="C215" i="4"/>
  <c r="R214" i="4"/>
  <c r="Q214" i="4"/>
  <c r="P214" i="4"/>
  <c r="O214" i="4"/>
  <c r="C214" i="4"/>
  <c r="R213" i="4"/>
  <c r="Q213" i="4"/>
  <c r="P213" i="4"/>
  <c r="O213" i="4"/>
  <c r="C213" i="4"/>
  <c r="R212" i="4"/>
  <c r="Q212" i="4"/>
  <c r="P212" i="4"/>
  <c r="O212" i="4"/>
  <c r="C212" i="4"/>
  <c r="R211" i="4"/>
  <c r="Q211" i="4"/>
  <c r="P211" i="4"/>
  <c r="O211" i="4"/>
  <c r="C211" i="4"/>
  <c r="R210" i="4"/>
  <c r="Q210" i="4"/>
  <c r="P210" i="4"/>
  <c r="O210" i="4"/>
  <c r="C210" i="4"/>
  <c r="R209" i="4"/>
  <c r="Q209" i="4"/>
  <c r="P209" i="4"/>
  <c r="O209" i="4"/>
  <c r="C209" i="4"/>
  <c r="R208" i="4"/>
  <c r="Q208" i="4"/>
  <c r="P208" i="4"/>
  <c r="O208" i="4"/>
  <c r="C208" i="4"/>
  <c r="R207" i="4"/>
  <c r="Q207" i="4"/>
  <c r="P207" i="4"/>
  <c r="O207" i="4"/>
  <c r="C207" i="4"/>
  <c r="R206" i="4"/>
  <c r="Q206" i="4"/>
  <c r="P206" i="4"/>
  <c r="O206" i="4"/>
  <c r="C206" i="4"/>
  <c r="R205" i="4"/>
  <c r="Q205" i="4"/>
  <c r="P205" i="4"/>
  <c r="O205" i="4"/>
  <c r="C205" i="4"/>
  <c r="R204" i="4"/>
  <c r="Q204" i="4"/>
  <c r="P204" i="4"/>
  <c r="O204" i="4"/>
  <c r="C204" i="4"/>
  <c r="R203" i="4"/>
  <c r="Q203" i="4"/>
  <c r="P203" i="4"/>
  <c r="O203" i="4"/>
  <c r="C203" i="4"/>
  <c r="R202" i="4"/>
  <c r="Q202" i="4"/>
  <c r="P202" i="4"/>
  <c r="O202" i="4"/>
  <c r="C202" i="4"/>
  <c r="R201" i="4"/>
  <c r="Q201" i="4"/>
  <c r="P201" i="4"/>
  <c r="O201" i="4"/>
  <c r="C201" i="4"/>
  <c r="R200" i="4"/>
  <c r="Q200" i="4"/>
  <c r="P200" i="4"/>
  <c r="O200" i="4"/>
  <c r="C200" i="4"/>
  <c r="R199" i="4"/>
  <c r="Q199" i="4"/>
  <c r="P199" i="4"/>
  <c r="O199" i="4"/>
  <c r="C199" i="4"/>
  <c r="R198" i="4"/>
  <c r="Q198" i="4"/>
  <c r="P198" i="4"/>
  <c r="O198" i="4"/>
  <c r="C198" i="4"/>
  <c r="R197" i="4"/>
  <c r="Q197" i="4"/>
  <c r="P197" i="4"/>
  <c r="O197" i="4"/>
  <c r="C197" i="4"/>
  <c r="R196" i="4"/>
  <c r="Q196" i="4"/>
  <c r="P196" i="4"/>
  <c r="O196" i="4"/>
  <c r="C196" i="4"/>
  <c r="R195" i="4"/>
  <c r="Q195" i="4"/>
  <c r="P195" i="4"/>
  <c r="O195" i="4"/>
  <c r="C195" i="4"/>
  <c r="R194" i="4"/>
  <c r="Q194" i="4"/>
  <c r="P194" i="4"/>
  <c r="O194" i="4"/>
  <c r="C194" i="4"/>
  <c r="R193" i="4"/>
  <c r="Q193" i="4"/>
  <c r="P193" i="4"/>
  <c r="O193" i="4"/>
  <c r="C193" i="4"/>
  <c r="R192" i="4"/>
  <c r="Q192" i="4"/>
  <c r="P192" i="4"/>
  <c r="O192" i="4"/>
  <c r="C192" i="4"/>
  <c r="R191" i="4"/>
  <c r="Q191" i="4"/>
  <c r="P191" i="4"/>
  <c r="O191" i="4"/>
  <c r="C191" i="4"/>
  <c r="R190" i="4"/>
  <c r="Q190" i="4"/>
  <c r="P190" i="4"/>
  <c r="O190" i="4"/>
  <c r="C190" i="4"/>
  <c r="R189" i="4"/>
  <c r="Q189" i="4"/>
  <c r="P189" i="4"/>
  <c r="O189" i="4"/>
  <c r="C189" i="4"/>
  <c r="R188" i="4"/>
  <c r="Q188" i="4"/>
  <c r="P188" i="4"/>
  <c r="O188" i="4"/>
  <c r="C188" i="4"/>
  <c r="R187" i="4"/>
  <c r="Q187" i="4"/>
  <c r="P187" i="4"/>
  <c r="O187" i="4"/>
  <c r="C187" i="4"/>
  <c r="R186" i="4"/>
  <c r="Q186" i="4"/>
  <c r="P186" i="4"/>
  <c r="O186" i="4"/>
  <c r="C186" i="4"/>
  <c r="R185" i="4"/>
  <c r="Q185" i="4"/>
  <c r="P185" i="4"/>
  <c r="O185" i="4"/>
  <c r="C185" i="4"/>
  <c r="R184" i="4"/>
  <c r="Q184" i="4"/>
  <c r="P184" i="4"/>
  <c r="O184" i="4"/>
  <c r="C184" i="4"/>
  <c r="R183" i="4"/>
  <c r="Q183" i="4"/>
  <c r="P183" i="4"/>
  <c r="O183" i="4"/>
  <c r="C183" i="4"/>
  <c r="R182" i="4"/>
  <c r="Q182" i="4"/>
  <c r="P182" i="4"/>
  <c r="O182" i="4"/>
  <c r="C182" i="4"/>
  <c r="R181" i="4"/>
  <c r="Q181" i="4"/>
  <c r="P181" i="4"/>
  <c r="O181" i="4"/>
  <c r="C181" i="4"/>
  <c r="R180" i="4"/>
  <c r="Q180" i="4"/>
  <c r="P180" i="4"/>
  <c r="O180" i="4"/>
  <c r="C180" i="4"/>
  <c r="R179" i="4"/>
  <c r="Q179" i="4"/>
  <c r="P179" i="4"/>
  <c r="O179" i="4"/>
  <c r="C179" i="4"/>
  <c r="R178" i="4"/>
  <c r="Q178" i="4"/>
  <c r="P178" i="4"/>
  <c r="O178" i="4"/>
  <c r="C178" i="4"/>
  <c r="R177" i="4"/>
  <c r="Q177" i="4"/>
  <c r="P177" i="4"/>
  <c r="O177" i="4"/>
  <c r="C177" i="4"/>
  <c r="R176" i="4"/>
  <c r="Q176" i="4"/>
  <c r="P176" i="4"/>
  <c r="O176" i="4"/>
  <c r="C176" i="4"/>
  <c r="R175" i="4"/>
  <c r="Q175" i="4"/>
  <c r="P175" i="4"/>
  <c r="O175" i="4"/>
  <c r="C175" i="4"/>
  <c r="R174" i="4"/>
  <c r="Q174" i="4"/>
  <c r="P174" i="4"/>
  <c r="O174" i="4"/>
  <c r="C174" i="4"/>
  <c r="R173" i="4"/>
  <c r="Q173" i="4"/>
  <c r="P173" i="4"/>
  <c r="O173" i="4"/>
  <c r="C173" i="4"/>
  <c r="R172" i="4"/>
  <c r="Q172" i="4"/>
  <c r="P172" i="4"/>
  <c r="O172" i="4"/>
  <c r="C172" i="4"/>
  <c r="R171" i="4"/>
  <c r="Q171" i="4"/>
  <c r="P171" i="4"/>
  <c r="O171" i="4"/>
  <c r="C171" i="4"/>
  <c r="R170" i="4"/>
  <c r="Q170" i="4"/>
  <c r="P170" i="4"/>
  <c r="O170" i="4"/>
  <c r="C170" i="4"/>
  <c r="R169" i="4"/>
  <c r="Q169" i="4"/>
  <c r="P169" i="4"/>
  <c r="O169" i="4"/>
  <c r="C169" i="4"/>
  <c r="R168" i="4"/>
  <c r="Q168" i="4"/>
  <c r="P168" i="4"/>
  <c r="O168" i="4"/>
  <c r="C168" i="4"/>
  <c r="R167" i="4"/>
  <c r="Q167" i="4"/>
  <c r="P167" i="4"/>
  <c r="O167" i="4"/>
  <c r="C167" i="4"/>
  <c r="R166" i="4"/>
  <c r="Q166" i="4"/>
  <c r="P166" i="4"/>
  <c r="O166" i="4"/>
  <c r="C166" i="4"/>
  <c r="R165" i="4"/>
  <c r="Q165" i="4"/>
  <c r="P165" i="4"/>
  <c r="O165" i="4"/>
  <c r="C165" i="4"/>
  <c r="R164" i="4"/>
  <c r="Q164" i="4"/>
  <c r="P164" i="4"/>
  <c r="O164" i="4"/>
  <c r="C164" i="4"/>
  <c r="R163" i="4"/>
  <c r="Q163" i="4"/>
  <c r="P163" i="4"/>
  <c r="O163" i="4"/>
  <c r="C163" i="4"/>
  <c r="R162" i="4"/>
  <c r="Q162" i="4"/>
  <c r="P162" i="4"/>
  <c r="O162" i="4"/>
  <c r="C162" i="4"/>
  <c r="R161" i="4"/>
  <c r="Q161" i="4"/>
  <c r="P161" i="4"/>
  <c r="O161" i="4"/>
  <c r="C161" i="4"/>
  <c r="R160" i="4"/>
  <c r="Q160" i="4"/>
  <c r="P160" i="4"/>
  <c r="O160" i="4"/>
  <c r="C160" i="4"/>
  <c r="R159" i="4"/>
  <c r="Q159" i="4"/>
  <c r="P159" i="4"/>
  <c r="O159" i="4"/>
  <c r="C159" i="4"/>
  <c r="R158" i="4"/>
  <c r="Q158" i="4"/>
  <c r="P158" i="4"/>
  <c r="O158" i="4"/>
  <c r="C158" i="4"/>
  <c r="R157" i="4"/>
  <c r="Q157" i="4"/>
  <c r="P157" i="4"/>
  <c r="O157" i="4"/>
  <c r="C157" i="4"/>
  <c r="R156" i="4"/>
  <c r="Q156" i="4"/>
  <c r="P156" i="4"/>
  <c r="O156" i="4"/>
  <c r="C156" i="4"/>
  <c r="R155" i="4"/>
  <c r="Q155" i="4"/>
  <c r="P155" i="4"/>
  <c r="O155" i="4"/>
  <c r="C155" i="4"/>
  <c r="R154" i="4"/>
  <c r="Q154" i="4"/>
  <c r="P154" i="4"/>
  <c r="O154" i="4"/>
  <c r="C154" i="4"/>
  <c r="R153" i="4"/>
  <c r="Q153" i="4"/>
  <c r="P153" i="4"/>
  <c r="O153" i="4"/>
  <c r="C153" i="4"/>
  <c r="R152" i="4"/>
  <c r="Q152" i="4"/>
  <c r="P152" i="4"/>
  <c r="O152" i="4"/>
  <c r="C152" i="4"/>
  <c r="R151" i="4"/>
  <c r="Q151" i="4"/>
  <c r="P151" i="4"/>
  <c r="O151" i="4"/>
  <c r="C151" i="4"/>
  <c r="R150" i="4"/>
  <c r="Q150" i="4"/>
  <c r="P150" i="4"/>
  <c r="O150" i="4"/>
  <c r="C150" i="4"/>
  <c r="R149" i="4"/>
  <c r="Q149" i="4"/>
  <c r="P149" i="4"/>
  <c r="O149" i="4"/>
  <c r="C149" i="4"/>
  <c r="R148" i="4"/>
  <c r="Q148" i="4"/>
  <c r="P148" i="4"/>
  <c r="O148" i="4"/>
  <c r="C148" i="4"/>
  <c r="R147" i="4"/>
  <c r="Q147" i="4"/>
  <c r="P147" i="4"/>
  <c r="O147" i="4"/>
  <c r="C147" i="4"/>
  <c r="R146" i="4"/>
  <c r="Q146" i="4"/>
  <c r="P146" i="4"/>
  <c r="O146" i="4"/>
  <c r="C146" i="4"/>
  <c r="R145" i="4"/>
  <c r="Q145" i="4"/>
  <c r="P145" i="4"/>
  <c r="O145" i="4"/>
  <c r="C145" i="4"/>
  <c r="R144" i="4"/>
  <c r="Q144" i="4"/>
  <c r="P144" i="4"/>
  <c r="O144" i="4"/>
  <c r="C144" i="4"/>
  <c r="R143" i="4"/>
  <c r="Q143" i="4"/>
  <c r="P143" i="4"/>
  <c r="O143" i="4"/>
  <c r="C143" i="4"/>
  <c r="R142" i="4"/>
  <c r="Q142" i="4"/>
  <c r="P142" i="4"/>
  <c r="O142" i="4"/>
  <c r="C142" i="4"/>
  <c r="R141" i="4"/>
  <c r="Q141" i="4"/>
  <c r="P141" i="4"/>
  <c r="O141" i="4"/>
  <c r="C141" i="4"/>
  <c r="R140" i="4"/>
  <c r="Q140" i="4"/>
  <c r="P140" i="4"/>
  <c r="O140" i="4"/>
  <c r="C140" i="4"/>
  <c r="R139" i="4"/>
  <c r="Q139" i="4"/>
  <c r="P139" i="4"/>
  <c r="O139" i="4"/>
  <c r="C139" i="4"/>
  <c r="R138" i="4"/>
  <c r="Q138" i="4"/>
  <c r="P138" i="4"/>
  <c r="O138" i="4"/>
  <c r="C138" i="4"/>
  <c r="R137" i="4"/>
  <c r="Q137" i="4"/>
  <c r="P137" i="4"/>
  <c r="O137" i="4"/>
  <c r="C137" i="4"/>
  <c r="R136" i="4"/>
  <c r="Q136" i="4"/>
  <c r="P136" i="4"/>
  <c r="O136" i="4"/>
  <c r="C136" i="4"/>
  <c r="R135" i="4"/>
  <c r="Q135" i="4"/>
  <c r="P135" i="4"/>
  <c r="O135" i="4"/>
  <c r="C135" i="4"/>
  <c r="R134" i="4"/>
  <c r="Q134" i="4"/>
  <c r="P134" i="4"/>
  <c r="O134" i="4"/>
  <c r="C134" i="4"/>
  <c r="R133" i="4"/>
  <c r="Q133" i="4"/>
  <c r="P133" i="4"/>
  <c r="O133" i="4"/>
  <c r="C133" i="4"/>
  <c r="R132" i="4"/>
  <c r="Q132" i="4"/>
  <c r="P132" i="4"/>
  <c r="O132" i="4"/>
  <c r="C132" i="4"/>
  <c r="R131" i="4"/>
  <c r="Q131" i="4"/>
  <c r="P131" i="4"/>
  <c r="O131" i="4"/>
  <c r="C131" i="4"/>
  <c r="R130" i="4"/>
  <c r="Q130" i="4"/>
  <c r="P130" i="4"/>
  <c r="O130" i="4"/>
  <c r="C130" i="4"/>
  <c r="R129" i="4"/>
  <c r="Q129" i="4"/>
  <c r="P129" i="4"/>
  <c r="O129" i="4"/>
  <c r="C129" i="4"/>
  <c r="R128" i="4"/>
  <c r="Q128" i="4"/>
  <c r="P128" i="4"/>
  <c r="O128" i="4"/>
  <c r="C128" i="4"/>
  <c r="R127" i="4"/>
  <c r="Q127" i="4"/>
  <c r="P127" i="4"/>
  <c r="O127" i="4"/>
  <c r="C127" i="4"/>
  <c r="R126" i="4"/>
  <c r="Q126" i="4"/>
  <c r="P126" i="4"/>
  <c r="O126" i="4"/>
  <c r="C126" i="4"/>
  <c r="R125" i="4"/>
  <c r="Q125" i="4"/>
  <c r="P125" i="4"/>
  <c r="O125" i="4"/>
  <c r="C125" i="4"/>
  <c r="R124" i="4"/>
  <c r="Q124" i="4"/>
  <c r="P124" i="4"/>
  <c r="O124" i="4"/>
  <c r="C124" i="4"/>
  <c r="R123" i="4"/>
  <c r="Q123" i="4"/>
  <c r="P123" i="4"/>
  <c r="O123" i="4"/>
  <c r="C123" i="4"/>
  <c r="R122" i="4"/>
  <c r="Q122" i="4"/>
  <c r="P122" i="4"/>
  <c r="O122" i="4"/>
  <c r="C122" i="4"/>
  <c r="R121" i="4"/>
  <c r="Q121" i="4"/>
  <c r="P121" i="4"/>
  <c r="O121" i="4"/>
  <c r="C121" i="4"/>
  <c r="R120" i="4"/>
  <c r="Q120" i="4"/>
  <c r="P120" i="4"/>
  <c r="O120" i="4"/>
  <c r="C120" i="4"/>
  <c r="R119" i="4"/>
  <c r="Q119" i="4"/>
  <c r="P119" i="4"/>
  <c r="O119" i="4"/>
  <c r="C119" i="4"/>
  <c r="R118" i="4"/>
  <c r="Q118" i="4"/>
  <c r="P118" i="4"/>
  <c r="O118" i="4"/>
  <c r="C118" i="4"/>
  <c r="R117" i="4"/>
  <c r="Q117" i="4"/>
  <c r="P117" i="4"/>
  <c r="O117" i="4"/>
  <c r="C117" i="4"/>
  <c r="R116" i="4"/>
  <c r="Q116" i="4"/>
  <c r="P116" i="4"/>
  <c r="O116" i="4"/>
  <c r="C116" i="4"/>
  <c r="R115" i="4"/>
  <c r="Q115" i="4"/>
  <c r="P115" i="4"/>
  <c r="O115" i="4"/>
  <c r="C115" i="4"/>
  <c r="R114" i="4"/>
  <c r="Q114" i="4"/>
  <c r="P114" i="4"/>
  <c r="O114" i="4"/>
  <c r="C114" i="4"/>
  <c r="R113" i="4"/>
  <c r="Q113" i="4"/>
  <c r="P113" i="4"/>
  <c r="O113" i="4"/>
  <c r="C113" i="4"/>
  <c r="R112" i="4"/>
  <c r="Q112" i="4"/>
  <c r="P112" i="4"/>
  <c r="O112" i="4"/>
  <c r="C112" i="4"/>
  <c r="R111" i="4"/>
  <c r="Q111" i="4"/>
  <c r="P111" i="4"/>
  <c r="O111" i="4"/>
  <c r="C111" i="4"/>
  <c r="R110" i="4"/>
  <c r="Q110" i="4"/>
  <c r="P110" i="4"/>
  <c r="O110" i="4"/>
  <c r="C110" i="4"/>
  <c r="R109" i="4"/>
  <c r="Q109" i="4"/>
  <c r="P109" i="4"/>
  <c r="O109" i="4"/>
  <c r="C109" i="4"/>
  <c r="R108" i="4"/>
  <c r="Q108" i="4"/>
  <c r="P108" i="4"/>
  <c r="O108" i="4"/>
  <c r="C108" i="4"/>
  <c r="R107" i="4"/>
  <c r="Q107" i="4"/>
  <c r="P107" i="4"/>
  <c r="O107" i="4"/>
  <c r="C107" i="4"/>
  <c r="R106" i="4"/>
  <c r="Q106" i="4"/>
  <c r="P106" i="4"/>
  <c r="O106" i="4"/>
  <c r="C106" i="4"/>
  <c r="R105" i="4"/>
  <c r="Q105" i="4"/>
  <c r="P105" i="4"/>
  <c r="O105" i="4"/>
  <c r="C105" i="4"/>
  <c r="R104" i="4"/>
  <c r="Q104" i="4"/>
  <c r="P104" i="4"/>
  <c r="O104" i="4"/>
  <c r="C104" i="4"/>
  <c r="R103" i="4"/>
  <c r="Q103" i="4"/>
  <c r="P103" i="4"/>
  <c r="O103" i="4"/>
  <c r="C103" i="4"/>
  <c r="R102" i="4"/>
  <c r="Q102" i="4"/>
  <c r="P102" i="4"/>
  <c r="O102" i="4"/>
  <c r="C102" i="4"/>
  <c r="R101" i="4"/>
  <c r="Q101" i="4"/>
  <c r="P101" i="4"/>
  <c r="O101" i="4"/>
  <c r="C101" i="4"/>
  <c r="R100" i="4"/>
  <c r="Q100" i="4"/>
  <c r="P100" i="4"/>
  <c r="O100" i="4"/>
  <c r="C100" i="4"/>
  <c r="R99" i="4"/>
  <c r="Q99" i="4"/>
  <c r="P99" i="4"/>
  <c r="O99" i="4"/>
  <c r="C99" i="4"/>
  <c r="R98" i="4"/>
  <c r="Q98" i="4"/>
  <c r="P98" i="4"/>
  <c r="O98" i="4"/>
  <c r="C98" i="4"/>
  <c r="R97" i="4"/>
  <c r="Q97" i="4"/>
  <c r="P97" i="4"/>
  <c r="O97" i="4"/>
  <c r="C97" i="4"/>
  <c r="R96" i="4"/>
  <c r="Q96" i="4"/>
  <c r="P96" i="4"/>
  <c r="O96" i="4"/>
  <c r="C96" i="4"/>
  <c r="R95" i="4"/>
  <c r="Q95" i="4"/>
  <c r="P95" i="4"/>
  <c r="O95" i="4"/>
  <c r="C95" i="4"/>
  <c r="R94" i="4"/>
  <c r="Q94" i="4"/>
  <c r="P94" i="4"/>
  <c r="O94" i="4"/>
  <c r="C94" i="4"/>
  <c r="R93" i="4"/>
  <c r="Q93" i="4"/>
  <c r="P93" i="4"/>
  <c r="O93" i="4"/>
  <c r="C93" i="4"/>
  <c r="R92" i="4"/>
  <c r="Q92" i="4"/>
  <c r="P92" i="4"/>
  <c r="O92" i="4"/>
  <c r="C92" i="4"/>
  <c r="R91" i="4"/>
  <c r="Q91" i="4"/>
  <c r="P91" i="4"/>
  <c r="O91" i="4"/>
  <c r="C91" i="4"/>
  <c r="R90" i="4"/>
  <c r="Q90" i="4"/>
  <c r="P90" i="4"/>
  <c r="O90" i="4"/>
  <c r="C90" i="4"/>
  <c r="R89" i="4"/>
  <c r="Q89" i="4"/>
  <c r="P89" i="4"/>
  <c r="O89" i="4"/>
  <c r="C89" i="4"/>
  <c r="R88" i="4"/>
  <c r="Q88" i="4"/>
  <c r="P88" i="4"/>
  <c r="O88" i="4"/>
  <c r="C88" i="4"/>
  <c r="R87" i="4"/>
  <c r="Q87" i="4"/>
  <c r="P87" i="4"/>
  <c r="O87" i="4"/>
  <c r="C87" i="4"/>
  <c r="R86" i="4"/>
  <c r="Q86" i="4"/>
  <c r="P86" i="4"/>
  <c r="O86" i="4"/>
  <c r="C86" i="4"/>
  <c r="R85" i="4"/>
  <c r="Q85" i="4"/>
  <c r="P85" i="4"/>
  <c r="O85" i="4"/>
  <c r="C85" i="4"/>
  <c r="R84" i="4"/>
  <c r="Q84" i="4"/>
  <c r="P84" i="4"/>
  <c r="O84" i="4"/>
  <c r="C84" i="4"/>
  <c r="R83" i="4"/>
  <c r="Q83" i="4"/>
  <c r="P83" i="4"/>
  <c r="O83" i="4"/>
  <c r="C83" i="4"/>
  <c r="R82" i="4"/>
  <c r="Q82" i="4"/>
  <c r="P82" i="4"/>
  <c r="O82" i="4"/>
  <c r="C82" i="4"/>
  <c r="R81" i="4"/>
  <c r="Q81" i="4"/>
  <c r="P81" i="4"/>
  <c r="O81" i="4"/>
  <c r="C81" i="4"/>
  <c r="R80" i="4"/>
  <c r="Q80" i="4"/>
  <c r="P80" i="4"/>
  <c r="O80" i="4"/>
  <c r="C80" i="4"/>
  <c r="R79" i="4"/>
  <c r="Q79" i="4"/>
  <c r="P79" i="4"/>
  <c r="O79" i="4"/>
  <c r="C79" i="4"/>
  <c r="R78" i="4"/>
  <c r="Q78" i="4"/>
  <c r="P78" i="4"/>
  <c r="O78" i="4"/>
  <c r="C78" i="4"/>
  <c r="R77" i="4"/>
  <c r="Q77" i="4"/>
  <c r="P77" i="4"/>
  <c r="O77" i="4"/>
  <c r="C77" i="4"/>
  <c r="R76" i="4"/>
  <c r="Q76" i="4"/>
  <c r="P76" i="4"/>
  <c r="O76" i="4"/>
  <c r="C76" i="4"/>
  <c r="R75" i="4"/>
  <c r="Q75" i="4"/>
  <c r="P75" i="4"/>
  <c r="O75" i="4"/>
  <c r="C75" i="4"/>
  <c r="R74" i="4"/>
  <c r="Q74" i="4"/>
  <c r="P74" i="4"/>
  <c r="O74" i="4"/>
  <c r="C74" i="4"/>
  <c r="R73" i="4"/>
  <c r="Q73" i="4"/>
  <c r="P73" i="4"/>
  <c r="O73" i="4"/>
  <c r="C73" i="4"/>
  <c r="R72" i="4"/>
  <c r="Q72" i="4"/>
  <c r="P72" i="4"/>
  <c r="O72" i="4"/>
  <c r="C72" i="4"/>
  <c r="R71" i="4"/>
  <c r="Q71" i="4"/>
  <c r="P71" i="4"/>
  <c r="O71" i="4"/>
  <c r="C71" i="4"/>
  <c r="R70" i="4"/>
  <c r="Q70" i="4"/>
  <c r="P70" i="4"/>
  <c r="O70" i="4"/>
  <c r="C70" i="4"/>
  <c r="R69" i="4"/>
  <c r="Q69" i="4"/>
  <c r="P69" i="4"/>
  <c r="O69" i="4"/>
  <c r="C69" i="4"/>
  <c r="R68" i="4"/>
  <c r="Q68" i="4"/>
  <c r="P68" i="4"/>
  <c r="O68" i="4"/>
  <c r="C68" i="4"/>
  <c r="R67" i="4"/>
  <c r="Q67" i="4"/>
  <c r="P67" i="4"/>
  <c r="O67" i="4"/>
  <c r="C67" i="4"/>
  <c r="R66" i="4"/>
  <c r="Q66" i="4"/>
  <c r="P66" i="4"/>
  <c r="O66" i="4"/>
  <c r="C66" i="4"/>
  <c r="R65" i="4"/>
  <c r="Q65" i="4"/>
  <c r="P65" i="4"/>
  <c r="O65" i="4"/>
  <c r="C65" i="4"/>
  <c r="R64" i="4"/>
  <c r="Q64" i="4"/>
  <c r="P64" i="4"/>
  <c r="O64" i="4"/>
  <c r="C64" i="4"/>
  <c r="R63" i="4"/>
  <c r="Q63" i="4"/>
  <c r="P63" i="4"/>
  <c r="O63" i="4"/>
  <c r="C63" i="4"/>
  <c r="R62" i="4"/>
  <c r="Q62" i="4"/>
  <c r="P62" i="4"/>
  <c r="O62" i="4"/>
  <c r="C62" i="4"/>
  <c r="R61" i="4"/>
  <c r="Q61" i="4"/>
  <c r="P61" i="4"/>
  <c r="O61" i="4"/>
  <c r="C61" i="4"/>
  <c r="R60" i="4"/>
  <c r="Q60" i="4"/>
  <c r="P60" i="4"/>
  <c r="O60" i="4"/>
  <c r="C60" i="4"/>
  <c r="R59" i="4"/>
  <c r="Q59" i="4"/>
  <c r="P59" i="4"/>
  <c r="O59" i="4"/>
  <c r="C59" i="4"/>
  <c r="R58" i="4"/>
  <c r="Q58" i="4"/>
  <c r="P58" i="4"/>
  <c r="O58" i="4"/>
  <c r="C58" i="4"/>
  <c r="R57" i="4"/>
  <c r="Q57" i="4"/>
  <c r="P57" i="4"/>
  <c r="O57" i="4"/>
  <c r="C57" i="4"/>
  <c r="R56" i="4"/>
  <c r="Q56" i="4"/>
  <c r="P56" i="4"/>
  <c r="O56" i="4"/>
  <c r="C56" i="4"/>
  <c r="R55" i="4"/>
  <c r="Q55" i="4"/>
  <c r="P55" i="4"/>
  <c r="O55" i="4"/>
  <c r="C55" i="4"/>
  <c r="R54" i="4"/>
  <c r="Q54" i="4"/>
  <c r="P54" i="4"/>
  <c r="O54" i="4"/>
  <c r="C54" i="4"/>
  <c r="R53" i="4"/>
  <c r="Q53" i="4"/>
  <c r="P53" i="4"/>
  <c r="O53" i="4"/>
  <c r="C53" i="4"/>
  <c r="R52" i="4"/>
  <c r="Q52" i="4"/>
  <c r="P52" i="4"/>
  <c r="O52" i="4"/>
  <c r="C52" i="4"/>
  <c r="R51" i="4"/>
  <c r="Q51" i="4"/>
  <c r="P51" i="4"/>
  <c r="O51" i="4"/>
  <c r="C51" i="4"/>
  <c r="R50" i="4"/>
  <c r="Q50" i="4"/>
  <c r="P50" i="4"/>
  <c r="O50" i="4"/>
  <c r="C50" i="4"/>
  <c r="R49" i="4"/>
  <c r="Q49" i="4"/>
  <c r="P49" i="4"/>
  <c r="O49" i="4"/>
  <c r="C49" i="4"/>
  <c r="R48" i="4"/>
  <c r="Q48" i="4"/>
  <c r="P48" i="4"/>
  <c r="O48" i="4"/>
  <c r="C48" i="4"/>
  <c r="R47" i="4"/>
  <c r="Q47" i="4"/>
  <c r="P47" i="4"/>
  <c r="O47" i="4"/>
  <c r="C47" i="4"/>
  <c r="R46" i="4"/>
  <c r="Q46" i="4"/>
  <c r="P46" i="4"/>
  <c r="O46" i="4"/>
  <c r="C46" i="4"/>
  <c r="R45" i="4"/>
  <c r="Q45" i="4"/>
  <c r="P45" i="4"/>
  <c r="O45" i="4"/>
  <c r="C45" i="4"/>
  <c r="R44" i="4"/>
  <c r="Q44" i="4"/>
  <c r="P44" i="4"/>
  <c r="O44" i="4"/>
  <c r="C44" i="4"/>
  <c r="R43" i="4"/>
  <c r="Q43" i="4"/>
  <c r="P43" i="4"/>
  <c r="O43" i="4"/>
  <c r="C43" i="4"/>
  <c r="R42" i="4"/>
  <c r="Q42" i="4"/>
  <c r="P42" i="4"/>
  <c r="O42" i="4"/>
  <c r="C42" i="4"/>
  <c r="R41" i="4"/>
  <c r="Q41" i="4"/>
  <c r="P41" i="4"/>
  <c r="O41" i="4"/>
  <c r="C41" i="4"/>
  <c r="R40" i="4"/>
  <c r="Q40" i="4"/>
  <c r="P40" i="4"/>
  <c r="O40" i="4"/>
  <c r="C40" i="4"/>
  <c r="R39" i="4"/>
  <c r="Q39" i="4"/>
  <c r="P39" i="4"/>
  <c r="O39" i="4"/>
  <c r="C39" i="4"/>
  <c r="R38" i="4"/>
  <c r="Q38" i="4"/>
  <c r="P38" i="4"/>
  <c r="O38" i="4"/>
  <c r="C38" i="4"/>
  <c r="R37" i="4"/>
  <c r="Q37" i="4"/>
  <c r="P37" i="4"/>
  <c r="O37" i="4"/>
  <c r="C37" i="4"/>
  <c r="R36" i="4"/>
  <c r="Q36" i="4"/>
  <c r="P36" i="4"/>
  <c r="O36" i="4"/>
  <c r="C36" i="4"/>
  <c r="R35" i="4"/>
  <c r="Q35" i="4"/>
  <c r="P35" i="4"/>
  <c r="O35" i="4"/>
  <c r="C35" i="4"/>
  <c r="R34" i="4"/>
  <c r="Q34" i="4"/>
  <c r="P34" i="4"/>
  <c r="O34" i="4"/>
  <c r="C34" i="4"/>
  <c r="R33" i="4"/>
  <c r="Q33" i="4"/>
  <c r="P33" i="4"/>
  <c r="O33" i="4"/>
  <c r="C33" i="4"/>
  <c r="R32" i="4"/>
  <c r="Q32" i="4"/>
  <c r="P32" i="4"/>
  <c r="O32" i="4"/>
  <c r="C32" i="4"/>
  <c r="R31" i="4"/>
  <c r="Q31" i="4"/>
  <c r="P31" i="4"/>
  <c r="O31" i="4"/>
  <c r="C31" i="4"/>
  <c r="R30" i="4"/>
  <c r="Q30" i="4"/>
  <c r="P30" i="4"/>
  <c r="O30" i="4"/>
  <c r="C30" i="4"/>
  <c r="R29" i="4"/>
  <c r="Q29" i="4"/>
  <c r="P29" i="4"/>
  <c r="O29" i="4"/>
  <c r="C29" i="4"/>
  <c r="R28" i="4"/>
  <c r="Q28" i="4"/>
  <c r="P28" i="4"/>
  <c r="O28" i="4"/>
  <c r="C28" i="4"/>
  <c r="R27" i="4"/>
  <c r="Q27" i="4"/>
  <c r="P27" i="4"/>
  <c r="O27" i="4"/>
  <c r="C27" i="4"/>
  <c r="R26" i="4"/>
  <c r="Q26" i="4"/>
  <c r="P26" i="4"/>
  <c r="O26" i="4"/>
  <c r="C26" i="4"/>
  <c r="R25" i="4"/>
  <c r="Q25" i="4"/>
  <c r="P25" i="4"/>
  <c r="O25" i="4"/>
  <c r="C25" i="4"/>
  <c r="R24" i="4"/>
  <c r="Q24" i="4"/>
  <c r="P24" i="4"/>
  <c r="O24" i="4"/>
  <c r="C24" i="4"/>
  <c r="R23" i="4"/>
  <c r="Q23" i="4"/>
  <c r="P23" i="4"/>
  <c r="O23" i="4"/>
  <c r="C23" i="4"/>
  <c r="R22" i="4"/>
  <c r="Q22" i="4"/>
  <c r="P22" i="4"/>
  <c r="O22" i="4"/>
  <c r="C22" i="4"/>
  <c r="R21" i="4"/>
  <c r="Q21" i="4"/>
  <c r="P21" i="4"/>
  <c r="O21" i="4"/>
  <c r="C21" i="4"/>
  <c r="R20" i="4"/>
  <c r="Q20" i="4"/>
  <c r="P20" i="4"/>
  <c r="O20" i="4"/>
  <c r="C20" i="4"/>
  <c r="R19" i="4"/>
  <c r="Q19" i="4"/>
  <c r="P19" i="4"/>
  <c r="O19" i="4"/>
  <c r="C19" i="4"/>
  <c r="R18" i="4"/>
  <c r="Q18" i="4"/>
  <c r="P18" i="4"/>
  <c r="O18" i="4"/>
  <c r="C18" i="4"/>
  <c r="R17" i="4"/>
  <c r="Q17" i="4"/>
  <c r="P17" i="4"/>
  <c r="O17" i="4"/>
  <c r="C17" i="4"/>
  <c r="R16" i="4"/>
  <c r="Q16" i="4"/>
  <c r="P16" i="4"/>
  <c r="O16" i="4"/>
  <c r="C16" i="4"/>
  <c r="R15" i="4"/>
  <c r="Q15" i="4"/>
  <c r="P15" i="4"/>
  <c r="O15" i="4"/>
  <c r="C15" i="4"/>
  <c r="R14" i="4"/>
  <c r="Q14" i="4"/>
  <c r="P14" i="4"/>
  <c r="O14" i="4"/>
  <c r="C14" i="4"/>
  <c r="R13" i="4"/>
  <c r="Q13" i="4"/>
  <c r="P13" i="4"/>
  <c r="O13" i="4"/>
  <c r="C13" i="4"/>
  <c r="R12" i="4"/>
  <c r="Q12" i="4"/>
  <c r="P12" i="4"/>
  <c r="O12" i="4"/>
  <c r="C12" i="4"/>
  <c r="R11" i="4"/>
  <c r="Q11" i="4"/>
  <c r="P11" i="4"/>
  <c r="O11" i="4"/>
  <c r="C11" i="4"/>
  <c r="R10" i="4"/>
  <c r="Q10" i="4"/>
  <c r="P10" i="4"/>
  <c r="O10" i="4"/>
  <c r="C10" i="4"/>
  <c r="R9" i="4"/>
  <c r="Q9" i="4"/>
  <c r="P9" i="4"/>
  <c r="O9" i="4"/>
  <c r="C9" i="4"/>
  <c r="R8" i="4"/>
  <c r="Q8" i="4"/>
  <c r="P8" i="4"/>
  <c r="O8" i="4"/>
  <c r="C8" i="4"/>
  <c r="R7" i="4"/>
  <c r="Q7" i="4"/>
  <c r="P7" i="4"/>
  <c r="O7" i="4"/>
  <c r="C7" i="4"/>
  <c r="R6" i="4"/>
  <c r="Q6" i="4"/>
  <c r="P6" i="4"/>
  <c r="O6" i="4"/>
  <c r="C6" i="4"/>
  <c r="R5" i="4"/>
  <c r="Q5" i="4"/>
  <c r="P5" i="4"/>
  <c r="O5" i="4"/>
  <c r="C5" i="4"/>
  <c r="R4" i="4"/>
  <c r="Q4" i="4"/>
  <c r="P4" i="4"/>
  <c r="O4" i="4"/>
  <c r="C4" i="4"/>
  <c r="R3" i="4"/>
  <c r="Q3" i="4"/>
  <c r="P3" i="4"/>
  <c r="O3" i="4"/>
  <c r="C3" i="4"/>
  <c r="R2" i="4"/>
  <c r="Q2" i="4"/>
  <c r="P2" i="4"/>
  <c r="O2" i="4"/>
  <c r="C2" i="4"/>
  <c r="Q3" i="1"/>
  <c r="R3" i="1"/>
  <c r="Q4" i="1"/>
  <c r="R4" i="1"/>
  <c r="Q5" i="1"/>
  <c r="R5" i="1"/>
  <c r="Q6" i="1"/>
  <c r="R6" i="1"/>
  <c r="Q7" i="1"/>
  <c r="R7" i="1"/>
  <c r="Q8" i="1"/>
  <c r="R8" i="1"/>
  <c r="Q9" i="1"/>
  <c r="R9" i="1"/>
  <c r="Q10" i="1"/>
  <c r="R10" i="1"/>
  <c r="Q11" i="1"/>
  <c r="R11" i="1"/>
  <c r="Q12" i="1"/>
  <c r="R12" i="1"/>
  <c r="Q13" i="1"/>
  <c r="R13" i="1"/>
  <c r="Q14" i="1"/>
  <c r="R14" i="1"/>
  <c r="Q15" i="1"/>
  <c r="R15" i="1"/>
  <c r="Q16" i="1"/>
  <c r="R16" i="1"/>
  <c r="Q17" i="1"/>
  <c r="R17" i="1"/>
  <c r="Q18" i="1"/>
  <c r="R18" i="1"/>
  <c r="Q19" i="1"/>
  <c r="R19" i="1"/>
  <c r="Q20" i="1"/>
  <c r="R20" i="1"/>
  <c r="Q21" i="1"/>
  <c r="R21" i="1"/>
  <c r="Q22" i="1"/>
  <c r="R22" i="1"/>
  <c r="Q23" i="1"/>
  <c r="R23" i="1"/>
  <c r="Q24" i="1"/>
  <c r="R24" i="1"/>
  <c r="Q25" i="1"/>
  <c r="R25" i="1"/>
  <c r="Q26" i="1"/>
  <c r="R26" i="1"/>
  <c r="Q27" i="1"/>
  <c r="R27" i="1"/>
  <c r="Q28" i="1"/>
  <c r="R28" i="1"/>
  <c r="Q29" i="1"/>
  <c r="R29" i="1"/>
  <c r="Q30" i="1"/>
  <c r="R30" i="1"/>
  <c r="Q31" i="1"/>
  <c r="R31" i="1"/>
  <c r="Q32" i="1"/>
  <c r="R32" i="1"/>
  <c r="Q33" i="1"/>
  <c r="R33" i="1"/>
  <c r="Q34" i="1"/>
  <c r="R34" i="1"/>
  <c r="Q35" i="1"/>
  <c r="R35" i="1"/>
  <c r="Q36" i="1"/>
  <c r="R36" i="1"/>
  <c r="Q37" i="1"/>
  <c r="R37" i="1"/>
  <c r="Q38" i="1"/>
  <c r="R38" i="1"/>
  <c r="Q39" i="1"/>
  <c r="R39" i="1"/>
  <c r="Q40" i="1"/>
  <c r="R40" i="1"/>
  <c r="Q41" i="1"/>
  <c r="R41" i="1"/>
  <c r="Q42" i="1"/>
  <c r="R42" i="1"/>
  <c r="Q43" i="1"/>
  <c r="R43" i="1"/>
  <c r="Q44" i="1"/>
  <c r="R44" i="1"/>
  <c r="Q45" i="1"/>
  <c r="R45" i="1"/>
  <c r="Q46" i="1"/>
  <c r="R46" i="1"/>
  <c r="Q47" i="1"/>
  <c r="R47" i="1"/>
  <c r="Q48" i="1"/>
  <c r="R48" i="1"/>
  <c r="Q49" i="1"/>
  <c r="R49" i="1"/>
  <c r="Q50" i="1"/>
  <c r="R50" i="1"/>
  <c r="Q51" i="1"/>
  <c r="R51" i="1"/>
  <c r="Q52" i="1"/>
  <c r="R52" i="1"/>
  <c r="Q53" i="1"/>
  <c r="R53" i="1"/>
  <c r="Q54" i="1"/>
  <c r="R54" i="1"/>
  <c r="Q55" i="1"/>
  <c r="R55" i="1"/>
  <c r="Q56" i="1"/>
  <c r="R56" i="1"/>
  <c r="Q57" i="1"/>
  <c r="R57" i="1"/>
  <c r="Q58" i="1"/>
  <c r="R58" i="1"/>
  <c r="Q59" i="1"/>
  <c r="R59" i="1"/>
  <c r="Q60" i="1"/>
  <c r="R60" i="1"/>
  <c r="Q61" i="1"/>
  <c r="R61" i="1"/>
  <c r="Q62" i="1"/>
  <c r="R62" i="1"/>
  <c r="Q63" i="1"/>
  <c r="R63" i="1"/>
  <c r="Q64" i="1"/>
  <c r="R64" i="1"/>
  <c r="Q65" i="1"/>
  <c r="R65" i="1"/>
  <c r="Q66" i="1"/>
  <c r="R66" i="1"/>
  <c r="Q67" i="1"/>
  <c r="R67" i="1"/>
  <c r="Q68" i="1"/>
  <c r="R68" i="1"/>
  <c r="Q69" i="1"/>
  <c r="R69" i="1"/>
  <c r="Q70" i="1"/>
  <c r="R70" i="1"/>
  <c r="Q71" i="1"/>
  <c r="R71" i="1"/>
  <c r="Q72" i="1"/>
  <c r="R72" i="1"/>
  <c r="Q73" i="1"/>
  <c r="R73" i="1"/>
  <c r="Q74" i="1"/>
  <c r="R74" i="1"/>
  <c r="Q75" i="1"/>
  <c r="R75" i="1"/>
  <c r="Q76" i="1"/>
  <c r="R76" i="1"/>
  <c r="Q77" i="1"/>
  <c r="R77" i="1"/>
  <c r="Q78" i="1"/>
  <c r="R78" i="1"/>
  <c r="Q79" i="1"/>
  <c r="R79" i="1"/>
  <c r="Q80" i="1"/>
  <c r="R80" i="1"/>
  <c r="Q81" i="1"/>
  <c r="R81" i="1"/>
  <c r="Q82" i="1"/>
  <c r="R82" i="1"/>
  <c r="Q83" i="1"/>
  <c r="R83" i="1"/>
  <c r="Q84" i="1"/>
  <c r="R84" i="1"/>
  <c r="Q85" i="1"/>
  <c r="R85" i="1"/>
  <c r="Q86" i="1"/>
  <c r="R86" i="1"/>
  <c r="Q87" i="1"/>
  <c r="R87" i="1"/>
  <c r="Q88" i="1"/>
  <c r="R88" i="1"/>
  <c r="Q89" i="1"/>
  <c r="R89" i="1"/>
  <c r="Q90" i="1"/>
  <c r="R90" i="1"/>
  <c r="Q91" i="1"/>
  <c r="R91" i="1"/>
  <c r="Q92" i="1"/>
  <c r="R92" i="1"/>
  <c r="Q93" i="1"/>
  <c r="R93" i="1"/>
  <c r="Q94" i="1"/>
  <c r="R94" i="1"/>
  <c r="Q95" i="1"/>
  <c r="R95" i="1"/>
  <c r="Q96" i="1"/>
  <c r="R96" i="1"/>
  <c r="Q97" i="1"/>
  <c r="R97" i="1"/>
  <c r="Q98" i="1"/>
  <c r="R98" i="1"/>
  <c r="Q99" i="1"/>
  <c r="R99" i="1"/>
  <c r="Q100" i="1"/>
  <c r="R100" i="1"/>
  <c r="Q101" i="1"/>
  <c r="R101" i="1"/>
  <c r="Q102" i="1"/>
  <c r="R102" i="1"/>
  <c r="Q103" i="1"/>
  <c r="R103" i="1"/>
  <c r="Q104" i="1"/>
  <c r="R104" i="1"/>
  <c r="Q105" i="1"/>
  <c r="R105" i="1"/>
  <c r="Q106" i="1"/>
  <c r="R106" i="1"/>
  <c r="Q107" i="1"/>
  <c r="R107" i="1"/>
  <c r="Q108" i="1"/>
  <c r="R108" i="1"/>
  <c r="Q109" i="1"/>
  <c r="R109" i="1"/>
  <c r="Q110" i="1"/>
  <c r="R110" i="1"/>
  <c r="Q111" i="1"/>
  <c r="R111" i="1"/>
  <c r="Q112" i="1"/>
  <c r="R112" i="1"/>
  <c r="Q113" i="1"/>
  <c r="R113" i="1"/>
  <c r="Q114" i="1"/>
  <c r="R114" i="1"/>
  <c r="Q115" i="1"/>
  <c r="R115" i="1"/>
  <c r="Q116" i="1"/>
  <c r="R116" i="1"/>
  <c r="Q117" i="1"/>
  <c r="R117" i="1"/>
  <c r="Q118" i="1"/>
  <c r="R118" i="1"/>
  <c r="Q119" i="1"/>
  <c r="R119" i="1"/>
  <c r="Q120" i="1"/>
  <c r="R120" i="1"/>
  <c r="Q121" i="1"/>
  <c r="R121" i="1"/>
  <c r="Q122" i="1"/>
  <c r="R122" i="1"/>
  <c r="Q123" i="1"/>
  <c r="R123" i="1"/>
  <c r="Q124" i="1"/>
  <c r="R124" i="1"/>
  <c r="Q125" i="1"/>
  <c r="R125" i="1"/>
  <c r="Q126" i="1"/>
  <c r="R126" i="1"/>
  <c r="Q127" i="1"/>
  <c r="R127" i="1"/>
  <c r="Q128" i="1"/>
  <c r="R128" i="1"/>
  <c r="Q129" i="1"/>
  <c r="R129" i="1"/>
  <c r="Q130" i="1"/>
  <c r="R130" i="1"/>
  <c r="Q131" i="1"/>
  <c r="R131" i="1"/>
  <c r="Q132" i="1"/>
  <c r="R132" i="1"/>
  <c r="Q133" i="1"/>
  <c r="R133" i="1"/>
  <c r="Q134" i="1"/>
  <c r="R134" i="1"/>
  <c r="Q135" i="1"/>
  <c r="R135" i="1"/>
  <c r="Q136" i="1"/>
  <c r="R136" i="1"/>
  <c r="Q137" i="1"/>
  <c r="R137" i="1"/>
  <c r="Q138" i="1"/>
  <c r="R138" i="1"/>
  <c r="Q139" i="1"/>
  <c r="R139" i="1"/>
  <c r="Q140" i="1"/>
  <c r="R140" i="1"/>
  <c r="Q141" i="1"/>
  <c r="R141" i="1"/>
  <c r="Q142" i="1"/>
  <c r="R142" i="1"/>
  <c r="Q143" i="1"/>
  <c r="R143" i="1"/>
  <c r="Q144" i="1"/>
  <c r="R144" i="1"/>
  <c r="Q145" i="1"/>
  <c r="R145" i="1"/>
  <c r="Q146" i="1"/>
  <c r="R146" i="1"/>
  <c r="Q147" i="1"/>
  <c r="R147" i="1"/>
  <c r="Q148" i="1"/>
  <c r="R148" i="1"/>
  <c r="Q149" i="1"/>
  <c r="R149" i="1"/>
  <c r="Q150" i="1"/>
  <c r="R150" i="1"/>
  <c r="Q151" i="1"/>
  <c r="R151" i="1"/>
  <c r="Q152" i="1"/>
  <c r="R152" i="1"/>
  <c r="Q153" i="1"/>
  <c r="R153" i="1"/>
  <c r="Q154" i="1"/>
  <c r="R154" i="1"/>
  <c r="Q155" i="1"/>
  <c r="R155" i="1"/>
  <c r="Q156" i="1"/>
  <c r="R156" i="1"/>
  <c r="Q157" i="1"/>
  <c r="R157" i="1"/>
  <c r="Q158" i="1"/>
  <c r="R158" i="1"/>
  <c r="Q159" i="1"/>
  <c r="R159" i="1"/>
  <c r="Q160" i="1"/>
  <c r="R160" i="1"/>
  <c r="Q161" i="1"/>
  <c r="R161" i="1"/>
  <c r="Q162" i="1"/>
  <c r="R162" i="1"/>
  <c r="Q163" i="1"/>
  <c r="R163" i="1"/>
  <c r="Q164" i="1"/>
  <c r="R164" i="1"/>
  <c r="Q165" i="1"/>
  <c r="R165" i="1"/>
  <c r="Q166" i="1"/>
  <c r="R166" i="1"/>
  <c r="Q167" i="1"/>
  <c r="R167" i="1"/>
  <c r="Q168" i="1"/>
  <c r="R168" i="1"/>
  <c r="Q169" i="1"/>
  <c r="R169" i="1"/>
  <c r="Q170" i="1"/>
  <c r="R170" i="1"/>
  <c r="Q171" i="1"/>
  <c r="R171" i="1"/>
  <c r="Q172" i="1"/>
  <c r="R172" i="1"/>
  <c r="Q173" i="1"/>
  <c r="R173" i="1"/>
  <c r="Q174" i="1"/>
  <c r="R174" i="1"/>
  <c r="Q175" i="1"/>
  <c r="R175" i="1"/>
  <c r="Q176" i="1"/>
  <c r="R176" i="1"/>
  <c r="Q177" i="1"/>
  <c r="R177" i="1"/>
  <c r="Q178" i="1"/>
  <c r="R178" i="1"/>
  <c r="Q179" i="1"/>
  <c r="R179" i="1"/>
  <c r="Q180" i="1"/>
  <c r="R180" i="1"/>
  <c r="Q181" i="1"/>
  <c r="R181" i="1"/>
  <c r="Q182" i="1"/>
  <c r="R182" i="1"/>
  <c r="Q183" i="1"/>
  <c r="R183" i="1"/>
  <c r="Q184" i="1"/>
  <c r="R184" i="1"/>
  <c r="Q185" i="1"/>
  <c r="R185" i="1"/>
  <c r="Q186" i="1"/>
  <c r="R186" i="1"/>
  <c r="Q187" i="1"/>
  <c r="R187" i="1"/>
  <c r="Q188" i="1"/>
  <c r="R188" i="1"/>
  <c r="Q189" i="1"/>
  <c r="R189" i="1"/>
  <c r="Q190" i="1"/>
  <c r="R190" i="1"/>
  <c r="Q191" i="1"/>
  <c r="R191" i="1"/>
  <c r="Q192" i="1"/>
  <c r="R192" i="1"/>
  <c r="Q193" i="1"/>
  <c r="R193" i="1"/>
  <c r="Q194" i="1"/>
  <c r="R194" i="1"/>
  <c r="Q195" i="1"/>
  <c r="R195" i="1"/>
  <c r="Q196" i="1"/>
  <c r="R196" i="1"/>
  <c r="Q197" i="1"/>
  <c r="R197" i="1"/>
  <c r="Q198" i="1"/>
  <c r="R198" i="1"/>
  <c r="Q199" i="1"/>
  <c r="R199" i="1"/>
  <c r="Q200" i="1"/>
  <c r="R200" i="1"/>
  <c r="Q201" i="1"/>
  <c r="R201" i="1"/>
  <c r="Q202" i="1"/>
  <c r="R202" i="1"/>
  <c r="Q203" i="1"/>
  <c r="R203" i="1"/>
  <c r="Q204" i="1"/>
  <c r="R204" i="1"/>
  <c r="Q205" i="1"/>
  <c r="R205" i="1"/>
  <c r="Q206" i="1"/>
  <c r="R206" i="1"/>
  <c r="Q207" i="1"/>
  <c r="R207" i="1"/>
  <c r="Q208" i="1"/>
  <c r="R208" i="1"/>
  <c r="Q209" i="1"/>
  <c r="R209" i="1"/>
  <c r="Q210" i="1"/>
  <c r="R210" i="1"/>
  <c r="Q211" i="1"/>
  <c r="R211" i="1"/>
  <c r="Q212" i="1"/>
  <c r="R212" i="1"/>
  <c r="Q213" i="1"/>
  <c r="R213" i="1"/>
  <c r="Q214" i="1"/>
  <c r="R214" i="1"/>
  <c r="Q215" i="1"/>
  <c r="R215" i="1"/>
  <c r="Q216" i="1"/>
  <c r="R216" i="1"/>
  <c r="Q217" i="1"/>
  <c r="R217" i="1"/>
  <c r="Q218" i="1"/>
  <c r="R218" i="1"/>
  <c r="Q219" i="1"/>
  <c r="R219" i="1"/>
  <c r="Q220" i="1"/>
  <c r="R220" i="1"/>
  <c r="Q221" i="1"/>
  <c r="R221" i="1"/>
  <c r="Q222" i="1"/>
  <c r="R222" i="1"/>
  <c r="Q223" i="1"/>
  <c r="R223" i="1"/>
  <c r="Q224" i="1"/>
  <c r="R224" i="1"/>
  <c r="Q225" i="1"/>
  <c r="R225" i="1"/>
  <c r="Q226" i="1"/>
  <c r="R226" i="1"/>
  <c r="Q227" i="1"/>
  <c r="R227" i="1"/>
  <c r="Q228" i="1"/>
  <c r="R228" i="1"/>
  <c r="Q229" i="1"/>
  <c r="R229" i="1"/>
  <c r="Q230" i="1"/>
  <c r="R230" i="1"/>
  <c r="Q231" i="1"/>
  <c r="R231" i="1"/>
  <c r="Q232" i="1"/>
  <c r="R232" i="1"/>
  <c r="Q233" i="1"/>
  <c r="R233" i="1"/>
  <c r="Q234" i="1"/>
  <c r="R234" i="1"/>
  <c r="Q235" i="1"/>
  <c r="R235" i="1"/>
  <c r="Q236" i="1"/>
  <c r="R236" i="1"/>
  <c r="Q237" i="1"/>
  <c r="R237" i="1"/>
  <c r="Q238" i="1"/>
  <c r="R238" i="1"/>
  <c r="Q239" i="1"/>
  <c r="R239" i="1"/>
  <c r="Q240" i="1"/>
  <c r="R240" i="1"/>
  <c r="Q241" i="1"/>
  <c r="R241" i="1"/>
  <c r="Q242" i="1"/>
  <c r="R242" i="1"/>
  <c r="Q243" i="1"/>
  <c r="R243" i="1"/>
  <c r="Q244" i="1"/>
  <c r="R244" i="1"/>
  <c r="Q245" i="1"/>
  <c r="R245" i="1"/>
  <c r="Q246" i="1"/>
  <c r="R246" i="1"/>
  <c r="Q247" i="1"/>
  <c r="R247" i="1"/>
  <c r="Q248" i="1"/>
  <c r="R248" i="1"/>
  <c r="Q249" i="1"/>
  <c r="R249" i="1"/>
  <c r="Q250" i="1"/>
  <c r="R250" i="1"/>
  <c r="Q251" i="1"/>
  <c r="R251" i="1"/>
  <c r="Q252" i="1"/>
  <c r="R252" i="1"/>
  <c r="Q253" i="1"/>
  <c r="R253" i="1"/>
  <c r="Q254" i="1"/>
  <c r="R254" i="1"/>
  <c r="Q255" i="1"/>
  <c r="R255" i="1"/>
  <c r="Q256" i="1"/>
  <c r="R256" i="1"/>
  <c r="Q257" i="1"/>
  <c r="R257" i="1"/>
  <c r="Q258" i="1"/>
  <c r="R258" i="1"/>
  <c r="Q259" i="1"/>
  <c r="R259" i="1"/>
  <c r="Q260" i="1"/>
  <c r="R260" i="1"/>
  <c r="Q261" i="1"/>
  <c r="R261" i="1"/>
  <c r="Q262" i="1"/>
  <c r="R262" i="1"/>
  <c r="Q263" i="1"/>
  <c r="R263" i="1"/>
  <c r="Q264" i="1"/>
  <c r="R264" i="1"/>
  <c r="Q265" i="1"/>
  <c r="R265" i="1"/>
  <c r="Q266" i="1"/>
  <c r="R266" i="1"/>
  <c r="Q267" i="1"/>
  <c r="R267" i="1"/>
  <c r="Q268" i="1"/>
  <c r="R268" i="1"/>
  <c r="Q269" i="1"/>
  <c r="R269" i="1"/>
  <c r="Q270" i="1"/>
  <c r="R270" i="1"/>
  <c r="Q271" i="1"/>
  <c r="R271" i="1"/>
  <c r="Q272" i="1"/>
  <c r="R272" i="1"/>
  <c r="Q273" i="1"/>
  <c r="R273" i="1"/>
  <c r="Q274" i="1"/>
  <c r="R274" i="1"/>
  <c r="Q275" i="1"/>
  <c r="R275" i="1"/>
  <c r="Q276" i="1"/>
  <c r="R276" i="1"/>
  <c r="Q277" i="1"/>
  <c r="R277" i="1"/>
  <c r="Q278" i="1"/>
  <c r="R278" i="1"/>
  <c r="Q279" i="1"/>
  <c r="R279" i="1"/>
  <c r="Q280" i="1"/>
  <c r="R280" i="1"/>
  <c r="Q281" i="1"/>
  <c r="R281" i="1"/>
  <c r="Q282" i="1"/>
  <c r="R282" i="1"/>
  <c r="Q283" i="1"/>
  <c r="R283" i="1"/>
  <c r="Q284" i="1"/>
  <c r="R284" i="1"/>
  <c r="Q285" i="1"/>
  <c r="R285" i="1"/>
  <c r="Q286" i="1"/>
  <c r="R286" i="1"/>
  <c r="Q287" i="1"/>
  <c r="R287" i="1"/>
  <c r="Q288" i="1"/>
  <c r="R288" i="1"/>
  <c r="Q289" i="1"/>
  <c r="R289" i="1"/>
  <c r="Q290" i="1"/>
  <c r="R290" i="1"/>
  <c r="Q291" i="1"/>
  <c r="R291" i="1"/>
  <c r="Q292" i="1"/>
  <c r="R292" i="1"/>
  <c r="Q293" i="1"/>
  <c r="R293" i="1"/>
  <c r="Q294" i="1"/>
  <c r="R294" i="1"/>
  <c r="Q295" i="1"/>
  <c r="R295" i="1"/>
  <c r="Q296" i="1"/>
  <c r="R296" i="1"/>
  <c r="Q297" i="1"/>
  <c r="R297" i="1"/>
  <c r="Q298" i="1"/>
  <c r="R298" i="1"/>
  <c r="Q299" i="1"/>
  <c r="R299" i="1"/>
  <c r="Q300" i="1"/>
  <c r="R300" i="1"/>
  <c r="Q301" i="1"/>
  <c r="R301" i="1"/>
  <c r="Q302" i="1"/>
  <c r="R302" i="1"/>
  <c r="Q303" i="1"/>
  <c r="R303" i="1"/>
  <c r="Q304" i="1"/>
  <c r="R304" i="1"/>
  <c r="Q305" i="1"/>
  <c r="R305" i="1"/>
  <c r="Q306" i="1"/>
  <c r="R306" i="1"/>
  <c r="Q307" i="1"/>
  <c r="R307" i="1"/>
  <c r="Q308" i="1"/>
  <c r="R308" i="1"/>
  <c r="Q309" i="1"/>
  <c r="R309" i="1"/>
  <c r="Q310" i="1"/>
  <c r="R310" i="1"/>
  <c r="Q311" i="1"/>
  <c r="R311" i="1"/>
  <c r="Q312" i="1"/>
  <c r="R312" i="1"/>
  <c r="Q313" i="1"/>
  <c r="R313" i="1"/>
  <c r="Q314" i="1"/>
  <c r="R314" i="1"/>
  <c r="Q315" i="1"/>
  <c r="R315" i="1"/>
  <c r="Q316" i="1"/>
  <c r="R316" i="1"/>
  <c r="Q317" i="1"/>
  <c r="R317" i="1"/>
  <c r="Q318" i="1"/>
  <c r="R318" i="1"/>
  <c r="Q319" i="1"/>
  <c r="R319" i="1"/>
  <c r="Q320" i="1"/>
  <c r="R320" i="1"/>
  <c r="Q321" i="1"/>
  <c r="R321" i="1"/>
  <c r="Q322" i="1"/>
  <c r="R322" i="1"/>
  <c r="Q323" i="1"/>
  <c r="R323" i="1"/>
  <c r="Q324" i="1"/>
  <c r="R324" i="1"/>
  <c r="Q325" i="1"/>
  <c r="R325" i="1"/>
  <c r="Q326" i="1"/>
  <c r="R326" i="1"/>
  <c r="Q327" i="1"/>
  <c r="R327" i="1"/>
  <c r="Q328" i="1"/>
  <c r="R328" i="1"/>
  <c r="Q329" i="1"/>
  <c r="R329" i="1"/>
  <c r="Q330" i="1"/>
  <c r="R330" i="1"/>
  <c r="Q331" i="1"/>
  <c r="R331" i="1"/>
  <c r="Q332" i="1"/>
  <c r="R332" i="1"/>
  <c r="Q333" i="1"/>
  <c r="R333" i="1"/>
  <c r="Q334" i="1"/>
  <c r="R334" i="1"/>
  <c r="Q335" i="1"/>
  <c r="R335" i="1"/>
  <c r="Q336" i="1"/>
  <c r="R336" i="1"/>
  <c r="Q337" i="1"/>
  <c r="R337" i="1"/>
  <c r="Q338" i="1"/>
  <c r="R338" i="1"/>
  <c r="Q339" i="1"/>
  <c r="R339" i="1"/>
  <c r="Q340" i="1"/>
  <c r="R340" i="1"/>
  <c r="Q341" i="1"/>
  <c r="R341" i="1"/>
  <c r="Q342" i="1"/>
  <c r="R342" i="1"/>
  <c r="Q343" i="1"/>
  <c r="R343" i="1"/>
  <c r="Q344" i="1"/>
  <c r="R344" i="1"/>
  <c r="Q345" i="1"/>
  <c r="R345" i="1"/>
  <c r="Q346" i="1"/>
  <c r="R346" i="1"/>
  <c r="Q347" i="1"/>
  <c r="R347" i="1"/>
  <c r="Q348" i="1"/>
  <c r="R348" i="1"/>
  <c r="Q349" i="1"/>
  <c r="R349" i="1"/>
  <c r="Q350" i="1"/>
  <c r="R350" i="1"/>
  <c r="Q351" i="1"/>
  <c r="R351" i="1"/>
  <c r="Q352" i="1"/>
  <c r="R352" i="1"/>
  <c r="Q353" i="1"/>
  <c r="R353" i="1"/>
  <c r="Q354" i="1"/>
  <c r="R354" i="1"/>
  <c r="Q355" i="1"/>
  <c r="R355" i="1"/>
  <c r="Q356" i="1"/>
  <c r="R356" i="1"/>
  <c r="Q357" i="1"/>
  <c r="R357" i="1"/>
  <c r="Q358" i="1"/>
  <c r="R358" i="1"/>
  <c r="Q359" i="1"/>
  <c r="R359" i="1"/>
  <c r="Q360" i="1"/>
  <c r="R360" i="1"/>
  <c r="Q361" i="1"/>
  <c r="R361" i="1"/>
  <c r="Q362" i="1"/>
  <c r="R362" i="1"/>
  <c r="Q363" i="1"/>
  <c r="R363" i="1"/>
  <c r="Q364" i="1"/>
  <c r="R364" i="1"/>
  <c r="Q365" i="1"/>
  <c r="R365" i="1"/>
  <c r="Q366" i="1"/>
  <c r="R366" i="1"/>
  <c r="Q367" i="1"/>
  <c r="R367" i="1"/>
  <c r="Q368" i="1"/>
  <c r="R368" i="1"/>
  <c r="Q369" i="1"/>
  <c r="R369" i="1"/>
  <c r="Q370" i="1"/>
  <c r="R370" i="1"/>
  <c r="Q371" i="1"/>
  <c r="R371" i="1"/>
  <c r="Q372" i="1"/>
  <c r="R372" i="1"/>
  <c r="Q373" i="1"/>
  <c r="R373" i="1"/>
  <c r="Q374" i="1"/>
  <c r="R374" i="1"/>
  <c r="Q375" i="1"/>
  <c r="R375" i="1"/>
  <c r="Q376" i="1"/>
  <c r="R376" i="1"/>
  <c r="Q377" i="1"/>
  <c r="R377" i="1"/>
  <c r="Q378" i="1"/>
  <c r="R378" i="1"/>
  <c r="Q379" i="1"/>
  <c r="R379" i="1"/>
  <c r="Q380" i="1"/>
  <c r="R380" i="1"/>
  <c r="Q381" i="1"/>
  <c r="R381" i="1"/>
  <c r="Q382" i="1"/>
  <c r="R382" i="1"/>
  <c r="Q383" i="1"/>
  <c r="R383" i="1"/>
  <c r="Q384" i="1"/>
  <c r="R384" i="1"/>
  <c r="Q385" i="1"/>
  <c r="R385" i="1"/>
  <c r="Q386" i="1"/>
  <c r="R386" i="1"/>
  <c r="Q387" i="1"/>
  <c r="R387" i="1"/>
  <c r="Q388" i="1"/>
  <c r="R388" i="1"/>
  <c r="Q389" i="1"/>
  <c r="R389" i="1"/>
  <c r="Q390" i="1"/>
  <c r="R390" i="1"/>
  <c r="Q391" i="1"/>
  <c r="R391" i="1"/>
  <c r="Q392" i="1"/>
  <c r="R392" i="1"/>
  <c r="Q393" i="1"/>
  <c r="R393" i="1"/>
  <c r="Q394" i="1"/>
  <c r="R394" i="1"/>
  <c r="Q395" i="1"/>
  <c r="R395" i="1"/>
  <c r="Q396" i="1"/>
  <c r="R396" i="1"/>
  <c r="Q397" i="1"/>
  <c r="R397" i="1"/>
  <c r="Q398" i="1"/>
  <c r="R398" i="1"/>
  <c r="Q399" i="1"/>
  <c r="R399" i="1"/>
  <c r="Q400" i="1"/>
  <c r="R400" i="1"/>
  <c r="Q401" i="1"/>
  <c r="R401" i="1"/>
  <c r="Q402" i="1"/>
  <c r="R402" i="1"/>
  <c r="Q403" i="1"/>
  <c r="R403" i="1"/>
  <c r="Q404" i="1"/>
  <c r="R404" i="1"/>
  <c r="Q405" i="1"/>
  <c r="R405" i="1"/>
  <c r="Q406" i="1"/>
  <c r="R406" i="1"/>
  <c r="Q407" i="1"/>
  <c r="R407" i="1"/>
  <c r="Q408" i="1"/>
  <c r="R408" i="1"/>
  <c r="Q409" i="1"/>
  <c r="R409" i="1"/>
  <c r="Q410" i="1"/>
  <c r="R410" i="1"/>
  <c r="Q411" i="1"/>
  <c r="R411" i="1"/>
  <c r="Q412" i="1"/>
  <c r="R412" i="1"/>
  <c r="Q413" i="1"/>
  <c r="R413" i="1"/>
  <c r="Q414" i="1"/>
  <c r="R414" i="1"/>
  <c r="Q415" i="1"/>
  <c r="R415" i="1"/>
  <c r="Q416" i="1"/>
  <c r="R416" i="1"/>
  <c r="Q417" i="1"/>
  <c r="R417" i="1"/>
  <c r="Q418" i="1"/>
  <c r="R418" i="1"/>
  <c r="Q419" i="1"/>
  <c r="R419" i="1"/>
  <c r="Q420" i="1"/>
  <c r="R420" i="1"/>
  <c r="Q421" i="1"/>
  <c r="R421" i="1"/>
  <c r="Q422" i="1"/>
  <c r="R422" i="1"/>
  <c r="Q423" i="1"/>
  <c r="R423" i="1"/>
  <c r="Q424" i="1"/>
  <c r="R424" i="1"/>
  <c r="Q425" i="1"/>
  <c r="R425" i="1"/>
  <c r="Q426" i="1"/>
  <c r="R426" i="1"/>
  <c r="Q427" i="1"/>
  <c r="R427" i="1"/>
  <c r="Q428" i="1"/>
  <c r="R428" i="1"/>
  <c r="Q429" i="1"/>
  <c r="R429" i="1"/>
  <c r="Q430" i="1"/>
  <c r="R430" i="1"/>
  <c r="Q431" i="1"/>
  <c r="R431" i="1"/>
  <c r="Q432" i="1"/>
  <c r="R432" i="1"/>
  <c r="Q433" i="1"/>
  <c r="R433" i="1"/>
  <c r="Q434" i="1"/>
  <c r="R434" i="1"/>
  <c r="Q435" i="1"/>
  <c r="R435" i="1"/>
  <c r="Q436" i="1"/>
  <c r="R436" i="1"/>
  <c r="Q437" i="1"/>
  <c r="R437" i="1"/>
  <c r="Q438" i="1"/>
  <c r="R438" i="1"/>
  <c r="Q439" i="1"/>
  <c r="R439" i="1"/>
  <c r="Q440" i="1"/>
  <c r="R440" i="1"/>
  <c r="Q441" i="1"/>
  <c r="R441" i="1"/>
  <c r="Q442" i="1"/>
  <c r="R442" i="1"/>
  <c r="Q443" i="1"/>
  <c r="R443" i="1"/>
  <c r="Q444" i="1"/>
  <c r="R444" i="1"/>
  <c r="Q445" i="1"/>
  <c r="R445" i="1"/>
  <c r="Q446" i="1"/>
  <c r="R446" i="1"/>
  <c r="Q447" i="1"/>
  <c r="R447" i="1"/>
  <c r="Q448" i="1"/>
  <c r="R448" i="1"/>
  <c r="Q449" i="1"/>
  <c r="R449" i="1"/>
  <c r="Q450" i="1"/>
  <c r="R450" i="1"/>
  <c r="Q451" i="1"/>
  <c r="R451" i="1"/>
  <c r="Q452" i="1"/>
  <c r="R452" i="1"/>
  <c r="Q453" i="1"/>
  <c r="R453" i="1"/>
  <c r="Q454" i="1"/>
  <c r="R454" i="1"/>
  <c r="Q455" i="1"/>
  <c r="R455" i="1"/>
  <c r="Q456" i="1"/>
  <c r="R456" i="1"/>
  <c r="Q457" i="1"/>
  <c r="R457" i="1"/>
  <c r="Q458" i="1"/>
  <c r="R458" i="1"/>
  <c r="Q459" i="1"/>
  <c r="R459" i="1"/>
  <c r="Q460" i="1"/>
  <c r="R460" i="1"/>
  <c r="Q461" i="1"/>
  <c r="R461" i="1"/>
  <c r="Q462" i="1"/>
  <c r="R462" i="1"/>
  <c r="Q463" i="1"/>
  <c r="R463" i="1"/>
  <c r="Q464" i="1"/>
  <c r="R464" i="1"/>
  <c r="Q465" i="1"/>
  <c r="R465" i="1"/>
  <c r="Q466" i="1"/>
  <c r="R466" i="1"/>
  <c r="Q467" i="1"/>
  <c r="R467" i="1"/>
  <c r="Q468" i="1"/>
  <c r="R468" i="1"/>
  <c r="Q469" i="1"/>
  <c r="R469" i="1"/>
  <c r="Q470" i="1"/>
  <c r="R470" i="1"/>
  <c r="Q471" i="1"/>
  <c r="R471" i="1"/>
  <c r="Q472" i="1"/>
  <c r="R472" i="1"/>
  <c r="Q473" i="1"/>
  <c r="R473" i="1"/>
  <c r="Q474" i="1"/>
  <c r="R474" i="1"/>
  <c r="Q475" i="1"/>
  <c r="R475" i="1"/>
  <c r="Q476" i="1"/>
  <c r="R476" i="1"/>
  <c r="Q477" i="1"/>
  <c r="R477" i="1"/>
  <c r="Q478" i="1"/>
  <c r="R478" i="1"/>
  <c r="Q479" i="1"/>
  <c r="R479" i="1"/>
  <c r="Q480" i="1"/>
  <c r="R480" i="1"/>
  <c r="Q481" i="1"/>
  <c r="R481" i="1"/>
  <c r="Q482" i="1"/>
  <c r="R482" i="1"/>
  <c r="Q483" i="1"/>
  <c r="R483" i="1"/>
  <c r="Q484" i="1"/>
  <c r="R484" i="1"/>
  <c r="Q485" i="1"/>
  <c r="R485" i="1"/>
  <c r="Q486" i="1"/>
  <c r="R486" i="1"/>
  <c r="Q487" i="1"/>
  <c r="R487" i="1"/>
  <c r="Q488" i="1"/>
  <c r="R488" i="1"/>
  <c r="Q489" i="1"/>
  <c r="R489" i="1"/>
  <c r="Q490" i="1"/>
  <c r="R490" i="1"/>
  <c r="Q491" i="1"/>
  <c r="R491" i="1"/>
  <c r="Q492" i="1"/>
  <c r="R492" i="1"/>
  <c r="Q493" i="1"/>
  <c r="R493" i="1"/>
  <c r="Q494" i="1"/>
  <c r="R494" i="1"/>
  <c r="Q495" i="1"/>
  <c r="R495" i="1"/>
  <c r="Q496" i="1"/>
  <c r="R496" i="1"/>
  <c r="Q497" i="1"/>
  <c r="R497" i="1"/>
  <c r="Q498" i="1"/>
  <c r="R498" i="1"/>
  <c r="Q499" i="1"/>
  <c r="R499" i="1"/>
  <c r="Q500" i="1"/>
  <c r="R500" i="1"/>
  <c r="Q501" i="1"/>
  <c r="R501" i="1"/>
  <c r="Q502" i="1"/>
  <c r="R502" i="1"/>
  <c r="Q503" i="1"/>
  <c r="R503" i="1"/>
  <c r="Q504" i="1"/>
  <c r="R504" i="1"/>
  <c r="Q505" i="1"/>
  <c r="R505" i="1"/>
  <c r="Q506" i="1"/>
  <c r="R506" i="1"/>
  <c r="R2" i="1"/>
  <c r="Q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2" i="1"/>
</calcChain>
</file>

<file path=xl/connections.xml><?xml version="1.0" encoding="utf-8"?>
<connections xmlns="http://schemas.openxmlformats.org/spreadsheetml/2006/main">
  <connection id="1" name="aafilterdata.csv" type="6" refreshedVersion="0" background="1" saveData="1">
    <textPr fileType="mac" sourceFile="Macintosh HD:Users:guest:Desktop:Karthik:aafilterdata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<sst xmlns="http://schemas.openxmlformats.org/spreadsheetml/2006/main" count="71" uniqueCount="51">
  <si>
    <t>Chr</t>
  </si>
  <si>
    <t>nt</t>
  </si>
  <si>
    <t>chr:nt</t>
  </si>
  <si>
    <t>refnt</t>
  </si>
  <si>
    <t>highest variant AF</t>
  </si>
  <si>
    <t>Variant nt</t>
  </si>
  <si>
    <t>SNP AF</t>
  </si>
  <si>
    <t>Exon Num</t>
  </si>
  <si>
    <t>Posn</t>
  </si>
  <si>
    <t>c#</t>
  </si>
  <si>
    <t>aa#</t>
  </si>
  <si>
    <t>refaa</t>
  </si>
  <si>
    <t>mutaa</t>
  </si>
  <si>
    <t>Sample 1 Variant AF</t>
  </si>
  <si>
    <t>Sample 2 Variant AF</t>
  </si>
  <si>
    <t>Num samples</t>
  </si>
  <si>
    <t>refnt letter</t>
  </si>
  <si>
    <t>var nt letter</t>
  </si>
  <si>
    <t>A</t>
  </si>
  <si>
    <t>C</t>
  </si>
  <si>
    <t>D</t>
  </si>
  <si>
    <t>E</t>
  </si>
  <si>
    <t>F</t>
  </si>
  <si>
    <t>G</t>
  </si>
  <si>
    <t>H</t>
  </si>
  <si>
    <t>I</t>
  </si>
  <si>
    <t>K</t>
  </si>
  <si>
    <t>L</t>
  </si>
  <si>
    <t>M</t>
  </si>
  <si>
    <t>N</t>
  </si>
  <si>
    <t>P</t>
  </si>
  <si>
    <t>Q</t>
  </si>
  <si>
    <t>R</t>
  </si>
  <si>
    <t>S</t>
  </si>
  <si>
    <t>T</t>
  </si>
  <si>
    <t>V</t>
  </si>
  <si>
    <t>W</t>
  </si>
  <si>
    <t>Y</t>
  </si>
  <si>
    <t>*</t>
  </si>
  <si>
    <t>ref aa name</t>
  </si>
  <si>
    <t>mut aa name</t>
  </si>
  <si>
    <t>CEPH1408_L_155470.dedup.cleaned.bam</t>
  </si>
  <si>
    <t>RCC_02_2_L_155461.dedup.cleaned.bam</t>
  </si>
  <si>
    <t>RCC_03_L_155462.dedup.cleaned.bam</t>
  </si>
  <si>
    <t>RCC_05_L_155463.dedup.cleaned.bam</t>
  </si>
  <si>
    <t>RCC_06_2_L_155464.dedup.cleaned.bam</t>
  </si>
  <si>
    <t>RCC_07_1_L_155465.dedup.cleaned.bam</t>
  </si>
  <si>
    <t>RCC_10_2_L_155466.dedup.cleaned.bam</t>
  </si>
  <si>
    <t>RCC_11_2_L_155467.dedup.cleaned.bam</t>
  </si>
  <si>
    <t>RCC_13_1_L_155468.dedup.cleaned.bam</t>
  </si>
  <si>
    <t>RCC_21_L_155469.dedup.cleaned.bam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</si>
</sst>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%"/>
  </numFmts>
  <fonts count="5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Lucida Grande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96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5">
    <xf numFmtId="0" fontId="0" fillId="0" borderId="0" xfId="0"/>
    <xf numFmtId="10" fontId="0" fillId="0" borderId="0" xfId="1" applyNumberFormat="1" applyFont="1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164" fontId="0" fillId="0" borderId="0" xfId="1" applyNumberFormat="1" applyFont="1"/>
  </cellXfs>
  <cellStyles count="196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Normal" xfId="0" builtinId="0"/>
    <cellStyle name="Percent" xfId="1" builtinId="5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connections" Target="connections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596900</xdr:colOff>
          <xdr:row>7</xdr:row>
          <xdr:rowOff>25400</xdr:rowOff>
        </xdr:from>
        <xdr:to>
          <xdr:col>23</xdr:col>
          <xdr:colOff>406400</xdr:colOff>
          <xdr:row>19</xdr:row>
          <xdr:rowOff>139700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Run Formatting Macro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1409700</xdr:colOff>
          <xdr:row>8</xdr:row>
          <xdr:rowOff>12700</xdr:rowOff>
        </xdr:from>
        <xdr:to>
          <xdr:col>26</xdr:col>
          <xdr:colOff>152400</xdr:colOff>
          <xdr:row>20</xdr:row>
          <xdr:rowOff>127000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Run Formatting Macro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aafilterdata" connectionId="1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aafilterdata" connectionId="1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queryTable" Target="../queryTables/queryTable1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4" Type="http://schemas.openxmlformats.org/officeDocument/2006/relationships/queryTable" Target="../queryTables/queryTable2.xml"/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T506"/>
  <sheetViews>
    <sheetView showZeros="0" workbookViewId="0">
      <selection activeCell="E37" sqref="E37"/>
    </sheetView>
  </sheetViews>
  <sheetFormatPr baseColWidth="10" defaultRowHeight="15" x14ac:dyDescent="0"/>
  <cols>
    <col min="3" max="3" width="12.33203125" customWidth="1"/>
    <col min="5" max="5" width="16.1640625" style="1" customWidth="1"/>
    <col min="8" max="8" width="10.83203125" style="4"/>
    <col min="18" max="18" width="12.6640625" customWidth="1"/>
    <col min="19" max="20" width="17.33203125" style="1" customWidth="1"/>
    <col min="21" max="21" width="18.5" customWidth="1"/>
    <col min="22" max="22" width="19.5" customWidth="1"/>
  </cols>
  <sheetData>
    <row r="1" spans="1:20">
      <c r="A1" t="s">
        <v>0</v>
      </c>
      <c r="B1" t="s">
        <v>1</v>
      </c>
      <c r="C1" t="s">
        <v>2</v>
      </c>
      <c r="D1" t="s">
        <v>3</v>
      </c>
      <c r="E1" s="1" t="s">
        <v>4</v>
      </c>
      <c r="F1" t="s">
        <v>5</v>
      </c>
      <c r="G1" t="s">
        <v>15</v>
      </c>
      <c r="H1" s="4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16</v>
      </c>
      <c r="P1" t="s">
        <v>17</v>
      </c>
      <c r="Q1" t="s">
        <v>39</v>
      </c>
      <c r="R1" t="s">
        <v>40</v>
      </c>
      <c r="S1" s="1" t="s">
        <v>13</v>
      </c>
      <c r="T1" s="1" t="s">
        <v>14</v>
      </c>
    </row>
    <row r="2" spans="1:20">
      <c r="A2">
        <v>9</v>
      </c>
      <c r="B2">
        <v>135767943</v>
      </c>
      <c r="C2" t="str">
        <f>A2&amp;":"&amp;B2</f>
        <v>9:135767943</v>
      </c>
      <c r="D2">
        <v>3</v>
      </c>
      <c r="E2" s="1">
        <v>0.51210067800000003</v>
      </c>
      <c r="F2">
        <v>4</v>
      </c>
      <c r="G2">
        <v>2</v>
      </c>
      <c r="H2" s="4">
        <v>0.70420000000000005</v>
      </c>
      <c r="I2">
        <v>24</v>
      </c>
      <c r="J2">
        <v>0</v>
      </c>
      <c r="K2">
        <v>0</v>
      </c>
      <c r="L2">
        <v>0</v>
      </c>
      <c r="M2">
        <v>0</v>
      </c>
      <c r="N2">
        <v>0</v>
      </c>
      <c r="O2" t="str">
        <f>IF(D2=1,"A",IF(D2=2,"G",IF(D2=3,"C",IF(D2=4,"T","2NT"))))</f>
        <v>C</v>
      </c>
      <c r="P2" t="str">
        <f>IF(F2=1,"A",IF(F2=2,"G",IF(F2=3,"C",IF(F2=4,"T","2NT"))))</f>
        <v>T</v>
      </c>
      <c r="Q2">
        <f>IF(M2=0,0,VLOOKUP(M2,'aa codes'!$A$1:'aa codes'!$B$21,2))</f>
        <v>0</v>
      </c>
      <c r="R2">
        <f>IF(N2=0,0,VLOOKUP(N2,'aa codes'!$A$1:'aa codes'!$B$21,2))</f>
        <v>0</v>
      </c>
      <c r="S2" s="1">
        <v>0.51210067800000003</v>
      </c>
      <c r="T2" s="1">
        <v>0.49772382399999998</v>
      </c>
    </row>
    <row r="3" spans="1:20">
      <c r="A3">
        <v>9</v>
      </c>
      <c r="B3">
        <v>135769688</v>
      </c>
      <c r="C3" t="str">
        <f t="shared" ref="C3:C66" si="0">A3&amp;":"&amp;B3</f>
        <v>9:135769688</v>
      </c>
      <c r="D3">
        <v>4</v>
      </c>
      <c r="E3" s="1">
        <v>0.51222826099999996</v>
      </c>
      <c r="F3">
        <v>3</v>
      </c>
      <c r="G3">
        <v>1</v>
      </c>
      <c r="H3" s="4">
        <v>0.1404</v>
      </c>
      <c r="I3">
        <v>24</v>
      </c>
      <c r="J3">
        <v>0</v>
      </c>
      <c r="K3">
        <v>0</v>
      </c>
      <c r="L3">
        <v>0</v>
      </c>
      <c r="M3">
        <v>0</v>
      </c>
      <c r="N3">
        <v>0</v>
      </c>
      <c r="O3" t="str">
        <f t="shared" ref="O3:O66" si="1">IF(D3=1,"A",IF(D3=2,"G",IF(D3=3,"C",IF(D3=4,"T","2NT"))))</f>
        <v>T</v>
      </c>
      <c r="P3" t="str">
        <f t="shared" ref="P3:P66" si="2">IF(F3=1,"A",IF(F3=2,"G",IF(F3=3,"C",IF(F3=4,"T","2NT"))))</f>
        <v>C</v>
      </c>
      <c r="Q3">
        <f>IF(M3=0,0,VLOOKUP(M3,'aa codes'!$A$1:'aa codes'!$B$21,2))</f>
        <v>0</v>
      </c>
      <c r="R3">
        <f>IF(N3=0,0,VLOOKUP(N3,'aa codes'!$A$1:'aa codes'!$B$21,2))</f>
        <v>0</v>
      </c>
      <c r="S3" s="1">
        <v>0</v>
      </c>
      <c r="T3" s="1">
        <v>0.51222826099999996</v>
      </c>
    </row>
    <row r="4" spans="1:20">
      <c r="A4">
        <v>9</v>
      </c>
      <c r="B4">
        <v>135770057</v>
      </c>
      <c r="C4" t="str">
        <f t="shared" si="0"/>
        <v>9:135770057</v>
      </c>
      <c r="D4">
        <v>4</v>
      </c>
      <c r="E4" s="1">
        <v>8.0000000000000002E-3</v>
      </c>
      <c r="F4">
        <v>1</v>
      </c>
      <c r="G4">
        <v>1</v>
      </c>
      <c r="H4" s="4">
        <v>0</v>
      </c>
      <c r="I4">
        <v>24</v>
      </c>
      <c r="J4">
        <v>0</v>
      </c>
      <c r="K4">
        <v>0</v>
      </c>
      <c r="L4">
        <v>0</v>
      </c>
      <c r="M4">
        <v>0</v>
      </c>
      <c r="N4">
        <v>0</v>
      </c>
      <c r="O4" t="str">
        <f t="shared" si="1"/>
        <v>T</v>
      </c>
      <c r="P4" t="str">
        <f t="shared" si="2"/>
        <v>A</v>
      </c>
      <c r="Q4">
        <f>IF(M4=0,0,VLOOKUP(M4,'aa codes'!$A$1:'aa codes'!$B$21,2))</f>
        <v>0</v>
      </c>
      <c r="R4">
        <f>IF(N4=0,0,VLOOKUP(N4,'aa codes'!$A$1:'aa codes'!$B$21,2))</f>
        <v>0</v>
      </c>
      <c r="S4" s="1">
        <v>4.6367851600000003E-3</v>
      </c>
      <c r="T4" s="1">
        <v>8.0000000000000002E-3</v>
      </c>
    </row>
    <row r="5" spans="1:20">
      <c r="A5">
        <v>9</v>
      </c>
      <c r="B5">
        <v>135770062</v>
      </c>
      <c r="C5" t="str">
        <f t="shared" si="0"/>
        <v>9:135770062</v>
      </c>
      <c r="D5">
        <v>2</v>
      </c>
      <c r="E5" s="1">
        <v>1.20274914E-2</v>
      </c>
      <c r="F5">
        <v>1</v>
      </c>
      <c r="G5">
        <v>2</v>
      </c>
      <c r="H5" s="4">
        <v>0</v>
      </c>
      <c r="I5">
        <v>24</v>
      </c>
      <c r="J5">
        <v>0</v>
      </c>
      <c r="K5">
        <v>0</v>
      </c>
      <c r="L5">
        <v>0</v>
      </c>
      <c r="M5">
        <v>0</v>
      </c>
      <c r="N5">
        <v>0</v>
      </c>
      <c r="O5" t="str">
        <f t="shared" si="1"/>
        <v>G</v>
      </c>
      <c r="P5" t="str">
        <f t="shared" si="2"/>
        <v>A</v>
      </c>
      <c r="Q5">
        <f>IF(M5=0,0,VLOOKUP(M5,'aa codes'!$A$1:'aa codes'!$B$21,2))</f>
        <v>0</v>
      </c>
      <c r="R5">
        <f>IF(N5=0,0,VLOOKUP(N5,'aa codes'!$A$1:'aa codes'!$B$21,2))</f>
        <v>0</v>
      </c>
      <c r="S5" s="1">
        <v>1.20274914E-2</v>
      </c>
      <c r="T5" s="1">
        <v>5.5865921799999997E-3</v>
      </c>
    </row>
    <row r="6" spans="1:20">
      <c r="A6">
        <v>9</v>
      </c>
      <c r="B6">
        <v>135770065</v>
      </c>
      <c r="C6" t="str">
        <f t="shared" si="0"/>
        <v>9:135770065</v>
      </c>
      <c r="D6">
        <v>4</v>
      </c>
      <c r="E6" s="1">
        <v>5.66572238E-3</v>
      </c>
      <c r="F6">
        <v>1</v>
      </c>
      <c r="G6">
        <v>1</v>
      </c>
      <c r="H6" s="4">
        <v>0</v>
      </c>
      <c r="I6">
        <v>24</v>
      </c>
      <c r="J6">
        <v>0</v>
      </c>
      <c r="K6">
        <v>0</v>
      </c>
      <c r="L6">
        <v>0</v>
      </c>
      <c r="M6">
        <v>0</v>
      </c>
      <c r="N6">
        <v>0</v>
      </c>
      <c r="O6" t="str">
        <f t="shared" si="1"/>
        <v>T</v>
      </c>
      <c r="P6" t="str">
        <f t="shared" si="2"/>
        <v>A</v>
      </c>
      <c r="Q6">
        <f>IF(M6=0,0,VLOOKUP(M6,'aa codes'!$A$1:'aa codes'!$B$21,2))</f>
        <v>0</v>
      </c>
      <c r="R6">
        <f>IF(N6=0,0,VLOOKUP(N6,'aa codes'!$A$1:'aa codes'!$B$21,2))</f>
        <v>0</v>
      </c>
      <c r="S6" s="1">
        <v>3.4722222200000001E-3</v>
      </c>
      <c r="T6" s="1">
        <v>5.66572238E-3</v>
      </c>
    </row>
    <row r="7" spans="1:20">
      <c r="A7">
        <v>9</v>
      </c>
      <c r="B7">
        <v>135770070</v>
      </c>
      <c r="C7" t="str">
        <f t="shared" si="0"/>
        <v>9:135770070</v>
      </c>
      <c r="D7">
        <v>1</v>
      </c>
      <c r="E7" s="1">
        <v>3.3333333299999997E-2</v>
      </c>
      <c r="F7">
        <v>4</v>
      </c>
      <c r="G7">
        <v>2</v>
      </c>
      <c r="H7" s="4">
        <v>0</v>
      </c>
      <c r="I7">
        <v>24</v>
      </c>
      <c r="J7">
        <v>0</v>
      </c>
      <c r="K7">
        <v>0</v>
      </c>
      <c r="L7">
        <v>0</v>
      </c>
      <c r="M7">
        <v>0</v>
      </c>
      <c r="N7">
        <v>0</v>
      </c>
      <c r="O7" t="str">
        <f t="shared" si="1"/>
        <v>A</v>
      </c>
      <c r="P7" t="str">
        <f t="shared" si="2"/>
        <v>T</v>
      </c>
      <c r="Q7">
        <f>IF(M7=0,0,VLOOKUP(M7,'aa codes'!$A$1:'aa codes'!$B$21,2))</f>
        <v>0</v>
      </c>
      <c r="R7">
        <f>IF(N7=0,0,VLOOKUP(N7,'aa codes'!$A$1:'aa codes'!$B$21,2))</f>
        <v>0</v>
      </c>
      <c r="S7" s="1">
        <v>2.93577982E-2</v>
      </c>
      <c r="T7" s="1">
        <v>3.3333333299999997E-2</v>
      </c>
    </row>
    <row r="8" spans="1:20">
      <c r="A8">
        <v>9</v>
      </c>
      <c r="B8">
        <v>135770073</v>
      </c>
      <c r="C8" t="str">
        <f t="shared" si="0"/>
        <v>9:135770073</v>
      </c>
      <c r="D8">
        <v>2</v>
      </c>
      <c r="E8" s="1">
        <v>1.12903226E-2</v>
      </c>
      <c r="F8">
        <v>4</v>
      </c>
      <c r="G8">
        <v>2</v>
      </c>
      <c r="H8" s="4">
        <v>0</v>
      </c>
      <c r="I8">
        <v>24</v>
      </c>
      <c r="J8">
        <v>0</v>
      </c>
      <c r="K8">
        <v>0</v>
      </c>
      <c r="L8">
        <v>0</v>
      </c>
      <c r="M8">
        <v>0</v>
      </c>
      <c r="N8">
        <v>0</v>
      </c>
      <c r="O8" t="str">
        <f t="shared" si="1"/>
        <v>G</v>
      </c>
      <c r="P8" t="str">
        <f t="shared" si="2"/>
        <v>T</v>
      </c>
      <c r="Q8">
        <f>IF(M8=0,0,VLOOKUP(M8,'aa codes'!$A$1:'aa codes'!$B$21,2))</f>
        <v>0</v>
      </c>
      <c r="R8">
        <f>IF(N8=0,0,VLOOKUP(N8,'aa codes'!$A$1:'aa codes'!$B$21,2))</f>
        <v>0</v>
      </c>
      <c r="S8" s="1">
        <v>1.12903226E-2</v>
      </c>
      <c r="T8" s="1">
        <v>1.0471204200000001E-2</v>
      </c>
    </row>
    <row r="9" spans="1:20">
      <c r="A9">
        <v>9</v>
      </c>
      <c r="B9">
        <v>135770077</v>
      </c>
      <c r="C9" t="str">
        <f t="shared" si="0"/>
        <v>9:135770077</v>
      </c>
      <c r="D9">
        <v>4</v>
      </c>
      <c r="E9" s="1">
        <v>1.6587677700000001E-2</v>
      </c>
      <c r="F9">
        <v>1</v>
      </c>
      <c r="G9">
        <v>2</v>
      </c>
      <c r="H9" s="4">
        <v>0</v>
      </c>
      <c r="I9">
        <v>24</v>
      </c>
      <c r="J9">
        <v>0</v>
      </c>
      <c r="K9">
        <v>0</v>
      </c>
      <c r="L9">
        <v>0</v>
      </c>
      <c r="M9">
        <v>0</v>
      </c>
      <c r="N9">
        <v>0</v>
      </c>
      <c r="O9" t="str">
        <f t="shared" si="1"/>
        <v>T</v>
      </c>
      <c r="P9" t="str">
        <f t="shared" si="2"/>
        <v>A</v>
      </c>
      <c r="Q9">
        <f>IF(M9=0,0,VLOOKUP(M9,'aa codes'!$A$1:'aa codes'!$B$21,2))</f>
        <v>0</v>
      </c>
      <c r="R9">
        <f>IF(N9=0,0,VLOOKUP(N9,'aa codes'!$A$1:'aa codes'!$B$21,2))</f>
        <v>0</v>
      </c>
      <c r="S9" s="1">
        <v>9.0771558200000001E-3</v>
      </c>
      <c r="T9" s="1">
        <v>1.6587677700000001E-2</v>
      </c>
    </row>
    <row r="10" spans="1:20">
      <c r="A10">
        <v>9</v>
      </c>
      <c r="B10">
        <v>135770079</v>
      </c>
      <c r="C10" t="str">
        <f t="shared" si="0"/>
        <v>9:135770079</v>
      </c>
      <c r="D10">
        <v>3</v>
      </c>
      <c r="E10" s="1">
        <v>8.8888888900000001E-3</v>
      </c>
      <c r="F10">
        <v>4</v>
      </c>
      <c r="G10">
        <v>1</v>
      </c>
      <c r="H10" s="4">
        <v>0</v>
      </c>
      <c r="I10">
        <v>24</v>
      </c>
      <c r="J10">
        <v>0</v>
      </c>
      <c r="K10">
        <v>0</v>
      </c>
      <c r="L10">
        <v>0</v>
      </c>
      <c r="M10">
        <v>0</v>
      </c>
      <c r="N10">
        <v>0</v>
      </c>
      <c r="O10" t="str">
        <f t="shared" si="1"/>
        <v>C</v>
      </c>
      <c r="P10" t="str">
        <f t="shared" si="2"/>
        <v>T</v>
      </c>
      <c r="Q10">
        <f>IF(M10=0,0,VLOOKUP(M10,'aa codes'!$A$1:'aa codes'!$B$21,2))</f>
        <v>0</v>
      </c>
      <c r="R10">
        <f>IF(N10=0,0,VLOOKUP(N10,'aa codes'!$A$1:'aa codes'!$B$21,2))</f>
        <v>0</v>
      </c>
      <c r="S10" s="1">
        <v>2.7397260299999999E-3</v>
      </c>
      <c r="T10" s="1">
        <v>8.8888888900000001E-3</v>
      </c>
    </row>
    <row r="11" spans="1:20">
      <c r="A11">
        <v>9</v>
      </c>
      <c r="B11">
        <v>135770080</v>
      </c>
      <c r="C11" t="str">
        <f t="shared" si="0"/>
        <v>9:135770080</v>
      </c>
      <c r="D11">
        <v>4</v>
      </c>
      <c r="E11" s="1">
        <v>1.8105849600000001E-2</v>
      </c>
      <c r="F11">
        <v>1</v>
      </c>
      <c r="G11">
        <v>2</v>
      </c>
      <c r="H11" s="4">
        <v>0</v>
      </c>
      <c r="I11">
        <v>24</v>
      </c>
      <c r="J11">
        <v>0</v>
      </c>
      <c r="K11">
        <v>0</v>
      </c>
      <c r="L11">
        <v>0</v>
      </c>
      <c r="M11">
        <v>0</v>
      </c>
      <c r="N11">
        <v>0</v>
      </c>
      <c r="O11" t="str">
        <f t="shared" si="1"/>
        <v>T</v>
      </c>
      <c r="P11" t="str">
        <f t="shared" si="2"/>
        <v>A</v>
      </c>
      <c r="Q11">
        <f>IF(M11=0,0,VLOOKUP(M11,'aa codes'!$A$1:'aa codes'!$B$21,2))</f>
        <v>0</v>
      </c>
      <c r="R11">
        <f>IF(N11=0,0,VLOOKUP(N11,'aa codes'!$A$1:'aa codes'!$B$21,2))</f>
        <v>0</v>
      </c>
      <c r="S11" s="1">
        <v>7.3732718899999997E-3</v>
      </c>
      <c r="T11" s="1">
        <v>1.8105849600000001E-2</v>
      </c>
    </row>
    <row r="12" spans="1:20">
      <c r="A12">
        <v>9</v>
      </c>
      <c r="B12">
        <v>135770081</v>
      </c>
      <c r="C12" t="str">
        <f t="shared" si="0"/>
        <v>9:135770081</v>
      </c>
      <c r="D12">
        <v>1</v>
      </c>
      <c r="E12" s="1">
        <v>2.5691699599999999E-2</v>
      </c>
      <c r="F12">
        <v>4</v>
      </c>
      <c r="G12">
        <v>1</v>
      </c>
      <c r="H12" s="4">
        <v>0</v>
      </c>
      <c r="I12">
        <v>24</v>
      </c>
      <c r="J12">
        <v>0</v>
      </c>
      <c r="K12">
        <v>0</v>
      </c>
      <c r="L12">
        <v>0</v>
      </c>
      <c r="M12">
        <v>0</v>
      </c>
      <c r="N12">
        <v>0</v>
      </c>
      <c r="O12" t="str">
        <f t="shared" si="1"/>
        <v>A</v>
      </c>
      <c r="P12" t="str">
        <f t="shared" si="2"/>
        <v>T</v>
      </c>
      <c r="Q12">
        <f>IF(M12=0,0,VLOOKUP(M12,'aa codes'!$A$1:'aa codes'!$B$21,2))</f>
        <v>0</v>
      </c>
      <c r="R12">
        <f>IF(N12=0,0,VLOOKUP(N12,'aa codes'!$A$1:'aa codes'!$B$21,2))</f>
        <v>0</v>
      </c>
      <c r="S12" s="1">
        <v>2.5691699599999999E-2</v>
      </c>
      <c r="T12" s="1">
        <v>2.6595744699999999E-3</v>
      </c>
    </row>
    <row r="13" spans="1:20">
      <c r="A13">
        <v>9</v>
      </c>
      <c r="B13">
        <v>135770082</v>
      </c>
      <c r="C13" t="str">
        <f t="shared" si="0"/>
        <v>9:135770082</v>
      </c>
      <c r="D13">
        <v>1</v>
      </c>
      <c r="E13" s="1">
        <v>7.3964497000000001E-3</v>
      </c>
      <c r="F13">
        <v>4</v>
      </c>
      <c r="G13">
        <v>1</v>
      </c>
      <c r="H13" s="4">
        <v>0</v>
      </c>
      <c r="I13">
        <v>24</v>
      </c>
      <c r="J13">
        <v>0</v>
      </c>
      <c r="K13">
        <v>0</v>
      </c>
      <c r="L13">
        <v>0</v>
      </c>
      <c r="M13">
        <v>0</v>
      </c>
      <c r="N13">
        <v>0</v>
      </c>
      <c r="O13" t="str">
        <f t="shared" si="1"/>
        <v>A</v>
      </c>
      <c r="P13" t="str">
        <f t="shared" si="2"/>
        <v>T</v>
      </c>
      <c r="Q13">
        <f>IF(M13=0,0,VLOOKUP(M13,'aa codes'!$A$1:'aa codes'!$B$21,2))</f>
        <v>0</v>
      </c>
      <c r="R13">
        <f>IF(N13=0,0,VLOOKUP(N13,'aa codes'!$A$1:'aa codes'!$B$21,2))</f>
        <v>0</v>
      </c>
      <c r="S13" s="1">
        <v>7.3964497000000001E-3</v>
      </c>
      <c r="T13" s="1">
        <v>4.2194092800000001E-3</v>
      </c>
    </row>
    <row r="14" spans="1:20">
      <c r="A14">
        <v>9</v>
      </c>
      <c r="B14">
        <v>135770101</v>
      </c>
      <c r="C14" t="str">
        <f t="shared" si="0"/>
        <v>9:135770101</v>
      </c>
      <c r="D14">
        <v>1</v>
      </c>
      <c r="E14" s="1">
        <v>6.6225165599999997E-3</v>
      </c>
      <c r="F14">
        <v>2</v>
      </c>
      <c r="G14">
        <v>2</v>
      </c>
      <c r="H14" s="4">
        <v>0</v>
      </c>
      <c r="I14">
        <v>24</v>
      </c>
      <c r="J14">
        <v>0</v>
      </c>
      <c r="K14">
        <v>0</v>
      </c>
      <c r="L14">
        <v>0</v>
      </c>
      <c r="M14">
        <v>0</v>
      </c>
      <c r="N14">
        <v>0</v>
      </c>
      <c r="O14" t="str">
        <f t="shared" si="1"/>
        <v>A</v>
      </c>
      <c r="P14" t="str">
        <f t="shared" si="2"/>
        <v>G</v>
      </c>
      <c r="Q14">
        <f>IF(M14=0,0,VLOOKUP(M14,'aa codes'!$A$1:'aa codes'!$B$21,2))</f>
        <v>0</v>
      </c>
      <c r="R14">
        <f>IF(N14=0,0,VLOOKUP(N14,'aa codes'!$A$1:'aa codes'!$B$21,2))</f>
        <v>0</v>
      </c>
      <c r="S14" s="1">
        <v>6.6225165599999997E-3</v>
      </c>
      <c r="T14" s="1">
        <v>5.5045871600000002E-3</v>
      </c>
    </row>
    <row r="15" spans="1:20">
      <c r="A15">
        <v>9</v>
      </c>
      <c r="B15">
        <v>135770102</v>
      </c>
      <c r="C15" t="str">
        <f t="shared" si="0"/>
        <v>9:135770102</v>
      </c>
      <c r="D15">
        <v>1</v>
      </c>
      <c r="E15" s="1">
        <v>8.0645161299999994E-3</v>
      </c>
      <c r="F15">
        <v>2</v>
      </c>
      <c r="G15">
        <v>2</v>
      </c>
      <c r="H15" s="4">
        <v>0</v>
      </c>
      <c r="I15">
        <v>24</v>
      </c>
      <c r="J15">
        <v>0</v>
      </c>
      <c r="K15">
        <v>0</v>
      </c>
      <c r="L15">
        <v>0</v>
      </c>
      <c r="M15">
        <v>0</v>
      </c>
      <c r="N15">
        <v>0</v>
      </c>
      <c r="O15" t="str">
        <f t="shared" si="1"/>
        <v>A</v>
      </c>
      <c r="P15" t="str">
        <f t="shared" si="2"/>
        <v>G</v>
      </c>
      <c r="Q15">
        <f>IF(M15=0,0,VLOOKUP(M15,'aa codes'!$A$1:'aa codes'!$B$21,2))</f>
        <v>0</v>
      </c>
      <c r="R15">
        <f>IF(N15=0,0,VLOOKUP(N15,'aa codes'!$A$1:'aa codes'!$B$21,2))</f>
        <v>0</v>
      </c>
      <c r="S15" s="1">
        <v>5.8479532200000003E-3</v>
      </c>
      <c r="T15" s="1">
        <v>8.0645161299999994E-3</v>
      </c>
    </row>
    <row r="16" spans="1:20">
      <c r="A16">
        <v>9</v>
      </c>
      <c r="B16">
        <v>135770103</v>
      </c>
      <c r="C16" t="str">
        <f t="shared" si="0"/>
        <v>9:135770103</v>
      </c>
      <c r="D16">
        <v>2</v>
      </c>
      <c r="E16" s="1">
        <v>3.1578947400000001E-2</v>
      </c>
      <c r="F16">
        <v>1</v>
      </c>
      <c r="G16">
        <v>2</v>
      </c>
      <c r="H16" s="4">
        <v>0</v>
      </c>
      <c r="I16">
        <v>24</v>
      </c>
      <c r="J16">
        <v>0</v>
      </c>
      <c r="K16">
        <v>0</v>
      </c>
      <c r="L16">
        <v>0</v>
      </c>
      <c r="M16">
        <v>0</v>
      </c>
      <c r="N16">
        <v>0</v>
      </c>
      <c r="O16" t="str">
        <f t="shared" si="1"/>
        <v>G</v>
      </c>
      <c r="P16" t="str">
        <f t="shared" si="2"/>
        <v>A</v>
      </c>
      <c r="Q16">
        <f>IF(M16=0,0,VLOOKUP(M16,'aa codes'!$A$1:'aa codes'!$B$21,2))</f>
        <v>0</v>
      </c>
      <c r="R16">
        <f>IF(N16=0,0,VLOOKUP(N16,'aa codes'!$A$1:'aa codes'!$B$21,2))</f>
        <v>0</v>
      </c>
      <c r="S16" s="1">
        <v>9.6952908600000005E-3</v>
      </c>
      <c r="T16" s="1">
        <v>3.1578947400000001E-2</v>
      </c>
    </row>
    <row r="17" spans="1:20">
      <c r="A17">
        <v>9</v>
      </c>
      <c r="B17">
        <v>135770104</v>
      </c>
      <c r="C17" t="str">
        <f t="shared" si="0"/>
        <v>9:135770104</v>
      </c>
      <c r="D17">
        <v>1</v>
      </c>
      <c r="E17" s="1">
        <v>1.26582278E-2</v>
      </c>
      <c r="F17">
        <v>3</v>
      </c>
      <c r="G17">
        <v>2</v>
      </c>
      <c r="H17" s="4">
        <v>0</v>
      </c>
      <c r="I17">
        <v>24</v>
      </c>
      <c r="J17">
        <v>0</v>
      </c>
      <c r="K17">
        <v>0</v>
      </c>
      <c r="L17">
        <v>0</v>
      </c>
      <c r="M17">
        <v>0</v>
      </c>
      <c r="N17">
        <v>0</v>
      </c>
      <c r="O17" t="str">
        <f t="shared" si="1"/>
        <v>A</v>
      </c>
      <c r="P17" t="str">
        <f t="shared" si="2"/>
        <v>C</v>
      </c>
      <c r="Q17">
        <f>IF(M17=0,0,VLOOKUP(M17,'aa codes'!$A$1:'aa codes'!$B$21,2))</f>
        <v>0</v>
      </c>
      <c r="R17">
        <f>IF(N17=0,0,VLOOKUP(N17,'aa codes'!$A$1:'aa codes'!$B$21,2))</f>
        <v>0</v>
      </c>
      <c r="S17" s="1">
        <v>5.2980132499999997E-3</v>
      </c>
      <c r="T17" s="1">
        <v>1.26582278E-2</v>
      </c>
    </row>
    <row r="18" spans="1:20">
      <c r="A18">
        <v>9</v>
      </c>
      <c r="B18">
        <v>135770105</v>
      </c>
      <c r="C18" t="str">
        <f t="shared" si="0"/>
        <v>9:135770105</v>
      </c>
      <c r="D18">
        <v>3</v>
      </c>
      <c r="E18" s="1">
        <v>6.4432989699999997E-3</v>
      </c>
      <c r="F18">
        <v>4</v>
      </c>
      <c r="G18">
        <v>1</v>
      </c>
      <c r="H18" s="4">
        <v>0</v>
      </c>
      <c r="I18">
        <v>24</v>
      </c>
      <c r="J18">
        <v>0</v>
      </c>
      <c r="K18">
        <v>0</v>
      </c>
      <c r="L18">
        <v>0</v>
      </c>
      <c r="M18">
        <v>0</v>
      </c>
      <c r="N18">
        <v>0</v>
      </c>
      <c r="O18" t="str">
        <f t="shared" si="1"/>
        <v>C</v>
      </c>
      <c r="P18" t="str">
        <f t="shared" si="2"/>
        <v>T</v>
      </c>
      <c r="Q18">
        <f>IF(M18=0,0,VLOOKUP(M18,'aa codes'!$A$1:'aa codes'!$B$21,2))</f>
        <v>0</v>
      </c>
      <c r="R18">
        <f>IF(N18=0,0,VLOOKUP(N18,'aa codes'!$A$1:'aa codes'!$B$21,2))</f>
        <v>0</v>
      </c>
      <c r="S18" s="1">
        <v>6.4432989699999997E-3</v>
      </c>
      <c r="T18" s="1">
        <v>4.8780487799999998E-3</v>
      </c>
    </row>
    <row r="19" spans="1:20">
      <c r="A19">
        <v>9</v>
      </c>
      <c r="B19">
        <v>135770110</v>
      </c>
      <c r="C19" t="str">
        <f t="shared" si="0"/>
        <v>9:135770110</v>
      </c>
      <c r="D19">
        <v>1</v>
      </c>
      <c r="E19" s="1">
        <v>4.6511627899999998E-2</v>
      </c>
      <c r="F19">
        <v>4</v>
      </c>
      <c r="G19">
        <v>2</v>
      </c>
      <c r="H19" s="4">
        <v>0</v>
      </c>
      <c r="I19">
        <v>24</v>
      </c>
      <c r="J19">
        <v>0</v>
      </c>
      <c r="K19">
        <v>0</v>
      </c>
      <c r="L19">
        <v>0</v>
      </c>
      <c r="M19">
        <v>0</v>
      </c>
      <c r="N19">
        <v>0</v>
      </c>
      <c r="O19" t="str">
        <f t="shared" si="1"/>
        <v>A</v>
      </c>
      <c r="P19" t="str">
        <f t="shared" si="2"/>
        <v>T</v>
      </c>
      <c r="Q19">
        <f>IF(M19=0,0,VLOOKUP(M19,'aa codes'!$A$1:'aa codes'!$B$21,2))</f>
        <v>0</v>
      </c>
      <c r="R19">
        <f>IF(N19=0,0,VLOOKUP(N19,'aa codes'!$A$1:'aa codes'!$B$21,2))</f>
        <v>0</v>
      </c>
      <c r="S19" s="1">
        <v>2.48041775E-2</v>
      </c>
      <c r="T19" s="1">
        <v>4.6511627899999998E-2</v>
      </c>
    </row>
    <row r="20" spans="1:20">
      <c r="A20">
        <v>9</v>
      </c>
      <c r="B20">
        <v>135770113</v>
      </c>
      <c r="C20" t="str">
        <f t="shared" si="0"/>
        <v>9:135770113</v>
      </c>
      <c r="D20">
        <v>3</v>
      </c>
      <c r="E20" s="1">
        <v>3.0726257E-2</v>
      </c>
      <c r="F20">
        <v>4</v>
      </c>
      <c r="G20">
        <v>2</v>
      </c>
      <c r="H20" s="4">
        <v>0</v>
      </c>
      <c r="I20">
        <v>24</v>
      </c>
      <c r="J20">
        <v>0</v>
      </c>
      <c r="K20">
        <v>0</v>
      </c>
      <c r="L20">
        <v>0</v>
      </c>
      <c r="M20">
        <v>0</v>
      </c>
      <c r="N20">
        <v>0</v>
      </c>
      <c r="O20" t="str">
        <f t="shared" si="1"/>
        <v>C</v>
      </c>
      <c r="P20" t="str">
        <f t="shared" si="2"/>
        <v>T</v>
      </c>
      <c r="Q20">
        <f>IF(M20=0,0,VLOOKUP(M20,'aa codes'!$A$1:'aa codes'!$B$21,2))</f>
        <v>0</v>
      </c>
      <c r="R20">
        <f>IF(N20=0,0,VLOOKUP(N20,'aa codes'!$A$1:'aa codes'!$B$21,2))</f>
        <v>0</v>
      </c>
      <c r="S20" s="1">
        <v>6.3613231599999997E-3</v>
      </c>
      <c r="T20" s="1">
        <v>3.0726257E-2</v>
      </c>
    </row>
    <row r="21" spans="1:20">
      <c r="A21">
        <v>9</v>
      </c>
      <c r="B21">
        <v>135770115</v>
      </c>
      <c r="C21" t="str">
        <f t="shared" si="0"/>
        <v>9:135770115</v>
      </c>
      <c r="D21">
        <v>3</v>
      </c>
      <c r="E21" s="1">
        <v>1</v>
      </c>
      <c r="F21">
        <v>4</v>
      </c>
      <c r="G21">
        <v>2</v>
      </c>
      <c r="H21" s="4">
        <v>0.78569999999999995</v>
      </c>
      <c r="I21">
        <v>24</v>
      </c>
      <c r="J21">
        <v>0</v>
      </c>
      <c r="K21">
        <v>0</v>
      </c>
      <c r="L21">
        <v>0</v>
      </c>
      <c r="M21">
        <v>0</v>
      </c>
      <c r="N21">
        <v>0</v>
      </c>
      <c r="O21" t="str">
        <f t="shared" si="1"/>
        <v>C</v>
      </c>
      <c r="P21" t="str">
        <f t="shared" si="2"/>
        <v>T</v>
      </c>
      <c r="Q21">
        <f>IF(M21=0,0,VLOOKUP(M21,'aa codes'!$A$1:'aa codes'!$B$21,2))</f>
        <v>0</v>
      </c>
      <c r="R21">
        <f>IF(N21=0,0,VLOOKUP(N21,'aa codes'!$A$1:'aa codes'!$B$21,2))</f>
        <v>0</v>
      </c>
      <c r="S21" s="1">
        <v>0.52631578899999998</v>
      </c>
      <c r="T21" s="1">
        <v>1</v>
      </c>
    </row>
    <row r="22" spans="1:20">
      <c r="A22">
        <v>9</v>
      </c>
      <c r="B22">
        <v>135770117</v>
      </c>
      <c r="C22" t="str">
        <f t="shared" si="0"/>
        <v>9:135770117</v>
      </c>
      <c r="D22">
        <v>3</v>
      </c>
      <c r="E22" s="1">
        <v>7.7720207299999998E-3</v>
      </c>
      <c r="F22">
        <v>4</v>
      </c>
      <c r="G22">
        <v>1</v>
      </c>
      <c r="H22" s="4">
        <v>0</v>
      </c>
      <c r="I22">
        <v>24</v>
      </c>
      <c r="J22">
        <v>0</v>
      </c>
      <c r="K22">
        <v>0</v>
      </c>
      <c r="L22">
        <v>0</v>
      </c>
      <c r="M22">
        <v>0</v>
      </c>
      <c r="N22">
        <v>0</v>
      </c>
      <c r="O22" t="str">
        <f t="shared" si="1"/>
        <v>C</v>
      </c>
      <c r="P22" t="str">
        <f t="shared" si="2"/>
        <v>T</v>
      </c>
      <c r="Q22">
        <f>IF(M22=0,0,VLOOKUP(M22,'aa codes'!$A$1:'aa codes'!$B$21,2))</f>
        <v>0</v>
      </c>
      <c r="R22">
        <f>IF(N22=0,0,VLOOKUP(N22,'aa codes'!$A$1:'aa codes'!$B$21,2))</f>
        <v>0</v>
      </c>
      <c r="S22" s="1">
        <v>0</v>
      </c>
      <c r="T22" s="1">
        <v>7.7720207299999998E-3</v>
      </c>
    </row>
    <row r="23" spans="1:20">
      <c r="A23">
        <v>9</v>
      </c>
      <c r="B23">
        <v>135770123</v>
      </c>
      <c r="C23" t="str">
        <f t="shared" si="0"/>
        <v>9:135770123</v>
      </c>
      <c r="D23">
        <v>2</v>
      </c>
      <c r="E23" s="1">
        <v>9.1012514199999995E-3</v>
      </c>
      <c r="F23">
        <v>4</v>
      </c>
      <c r="G23">
        <v>1</v>
      </c>
      <c r="H23" s="4">
        <v>0</v>
      </c>
      <c r="I23">
        <v>24</v>
      </c>
      <c r="J23">
        <v>0</v>
      </c>
      <c r="K23">
        <v>0</v>
      </c>
      <c r="L23">
        <v>0</v>
      </c>
      <c r="M23">
        <v>0</v>
      </c>
      <c r="N23">
        <v>0</v>
      </c>
      <c r="O23" t="str">
        <f t="shared" si="1"/>
        <v>G</v>
      </c>
      <c r="P23" t="str">
        <f t="shared" si="2"/>
        <v>T</v>
      </c>
      <c r="Q23">
        <f>IF(M23=0,0,VLOOKUP(M23,'aa codes'!$A$1:'aa codes'!$B$21,2))</f>
        <v>0</v>
      </c>
      <c r="R23">
        <f>IF(N23=0,0,VLOOKUP(N23,'aa codes'!$A$1:'aa codes'!$B$21,2))</f>
        <v>0</v>
      </c>
      <c r="S23" s="1">
        <v>9.1012514199999995E-3</v>
      </c>
      <c r="T23" s="1">
        <v>2.2675737E-3</v>
      </c>
    </row>
    <row r="24" spans="1:20">
      <c r="A24">
        <v>9</v>
      </c>
      <c r="B24">
        <v>135770124</v>
      </c>
      <c r="C24" t="str">
        <f t="shared" si="0"/>
        <v>9:135770124</v>
      </c>
      <c r="D24">
        <v>1</v>
      </c>
      <c r="E24" s="1">
        <v>7.2463768099999999E-3</v>
      </c>
      <c r="F24">
        <v>2</v>
      </c>
      <c r="G24">
        <v>2</v>
      </c>
      <c r="H24" s="4">
        <v>0</v>
      </c>
      <c r="I24">
        <v>24</v>
      </c>
      <c r="J24">
        <v>0</v>
      </c>
      <c r="K24">
        <v>0</v>
      </c>
      <c r="L24">
        <v>0</v>
      </c>
      <c r="M24">
        <v>0</v>
      </c>
      <c r="N24">
        <v>0</v>
      </c>
      <c r="O24" t="str">
        <f t="shared" si="1"/>
        <v>A</v>
      </c>
      <c r="P24" t="str">
        <f t="shared" si="2"/>
        <v>G</v>
      </c>
      <c r="Q24">
        <f>IF(M24=0,0,VLOOKUP(M24,'aa codes'!$A$1:'aa codes'!$B$21,2))</f>
        <v>0</v>
      </c>
      <c r="R24">
        <f>IF(N24=0,0,VLOOKUP(N24,'aa codes'!$A$1:'aa codes'!$B$21,2))</f>
        <v>0</v>
      </c>
      <c r="S24" s="1">
        <v>6.8649885600000002E-3</v>
      </c>
      <c r="T24" s="1">
        <v>7.2463768099999999E-3</v>
      </c>
    </row>
    <row r="25" spans="1:20">
      <c r="A25">
        <v>9</v>
      </c>
      <c r="B25">
        <v>135770129</v>
      </c>
      <c r="C25" t="str">
        <f t="shared" si="0"/>
        <v>9:135770129</v>
      </c>
      <c r="D25">
        <v>4</v>
      </c>
      <c r="E25" s="1">
        <v>1.03092784E-2</v>
      </c>
      <c r="F25">
        <v>3</v>
      </c>
      <c r="G25">
        <v>1</v>
      </c>
      <c r="H25" s="4">
        <v>0</v>
      </c>
      <c r="I25">
        <v>24</v>
      </c>
      <c r="J25">
        <v>0</v>
      </c>
      <c r="K25">
        <v>0</v>
      </c>
      <c r="L25">
        <v>0</v>
      </c>
      <c r="M25">
        <v>0</v>
      </c>
      <c r="N25">
        <v>0</v>
      </c>
      <c r="O25" t="str">
        <f t="shared" si="1"/>
        <v>T</v>
      </c>
      <c r="P25" t="str">
        <f t="shared" si="2"/>
        <v>C</v>
      </c>
      <c r="Q25">
        <f>IF(M25=0,0,VLOOKUP(M25,'aa codes'!$A$1:'aa codes'!$B$21,2))</f>
        <v>0</v>
      </c>
      <c r="R25">
        <f>IF(N25=0,0,VLOOKUP(N25,'aa codes'!$A$1:'aa codes'!$B$21,2))</f>
        <v>0</v>
      </c>
      <c r="S25" s="1">
        <v>1.0917030600000001E-3</v>
      </c>
      <c r="T25" s="1">
        <v>1.03092784E-2</v>
      </c>
    </row>
    <row r="26" spans="1:20">
      <c r="A26">
        <v>9</v>
      </c>
      <c r="B26">
        <v>135770132</v>
      </c>
      <c r="C26" t="str">
        <f t="shared" si="0"/>
        <v>9:135770132</v>
      </c>
      <c r="D26">
        <v>2</v>
      </c>
      <c r="E26" s="1">
        <v>6.2111801199999997E-3</v>
      </c>
      <c r="F26">
        <v>4</v>
      </c>
      <c r="G26">
        <v>2</v>
      </c>
      <c r="H26" s="4">
        <v>0</v>
      </c>
      <c r="I26">
        <v>24</v>
      </c>
      <c r="J26">
        <v>0</v>
      </c>
      <c r="K26">
        <v>0</v>
      </c>
      <c r="L26">
        <v>0</v>
      </c>
      <c r="M26">
        <v>0</v>
      </c>
      <c r="N26">
        <v>0</v>
      </c>
      <c r="O26" t="str">
        <f t="shared" si="1"/>
        <v>G</v>
      </c>
      <c r="P26" t="str">
        <f t="shared" si="2"/>
        <v>T</v>
      </c>
      <c r="Q26">
        <f>IF(M26=0,0,VLOOKUP(M26,'aa codes'!$A$1:'aa codes'!$B$21,2))</f>
        <v>0</v>
      </c>
      <c r="R26">
        <f>IF(N26=0,0,VLOOKUP(N26,'aa codes'!$A$1:'aa codes'!$B$21,2))</f>
        <v>0</v>
      </c>
      <c r="S26" s="1">
        <v>5.5248618799999998E-3</v>
      </c>
      <c r="T26" s="1">
        <v>6.2111801199999997E-3</v>
      </c>
    </row>
    <row r="27" spans="1:20">
      <c r="A27">
        <v>9</v>
      </c>
      <c r="B27">
        <v>135770134</v>
      </c>
      <c r="C27" t="str">
        <f t="shared" si="0"/>
        <v>9:135770134</v>
      </c>
      <c r="D27">
        <v>2</v>
      </c>
      <c r="E27" s="1">
        <v>0.49407114600000002</v>
      </c>
      <c r="F27">
        <v>1</v>
      </c>
      <c r="G27">
        <v>2</v>
      </c>
      <c r="H27" s="4">
        <v>0.44779999999999998</v>
      </c>
      <c r="I27">
        <v>24</v>
      </c>
      <c r="J27">
        <v>0</v>
      </c>
      <c r="K27">
        <v>0</v>
      </c>
      <c r="L27">
        <v>0</v>
      </c>
      <c r="M27">
        <v>0</v>
      </c>
      <c r="N27">
        <v>0</v>
      </c>
      <c r="O27" t="str">
        <f t="shared" si="1"/>
        <v>G</v>
      </c>
      <c r="P27" t="str">
        <f t="shared" si="2"/>
        <v>A</v>
      </c>
      <c r="Q27">
        <f>IF(M27=0,0,VLOOKUP(M27,'aa codes'!$A$1:'aa codes'!$B$21,2))</f>
        <v>0</v>
      </c>
      <c r="R27">
        <f>IF(N27=0,0,VLOOKUP(N27,'aa codes'!$A$1:'aa codes'!$B$21,2))</f>
        <v>0</v>
      </c>
      <c r="S27" s="1">
        <v>0.474437628</v>
      </c>
      <c r="T27" s="1">
        <v>0.49407114600000002</v>
      </c>
    </row>
    <row r="28" spans="1:20">
      <c r="A28">
        <v>9</v>
      </c>
      <c r="B28">
        <v>135770148</v>
      </c>
      <c r="C28" t="str">
        <f t="shared" si="0"/>
        <v>9:135770148</v>
      </c>
      <c r="D28">
        <v>3</v>
      </c>
      <c r="E28" s="1">
        <v>5.0505050500000001E-3</v>
      </c>
      <c r="F28">
        <v>4</v>
      </c>
      <c r="G28">
        <v>1</v>
      </c>
      <c r="H28" s="4">
        <v>7.8140000000000002E-4</v>
      </c>
      <c r="I28">
        <v>24</v>
      </c>
      <c r="J28">
        <v>0</v>
      </c>
      <c r="K28">
        <v>0</v>
      </c>
      <c r="L28">
        <v>0</v>
      </c>
      <c r="M28">
        <v>0</v>
      </c>
      <c r="N28">
        <v>0</v>
      </c>
      <c r="O28" t="str">
        <f t="shared" si="1"/>
        <v>C</v>
      </c>
      <c r="P28" t="str">
        <f t="shared" si="2"/>
        <v>T</v>
      </c>
      <c r="Q28">
        <f>IF(M28=0,0,VLOOKUP(M28,'aa codes'!$A$1:'aa codes'!$B$21,2))</f>
        <v>0</v>
      </c>
      <c r="R28">
        <f>IF(N28=0,0,VLOOKUP(N28,'aa codes'!$A$1:'aa codes'!$B$21,2))</f>
        <v>0</v>
      </c>
      <c r="S28" s="1">
        <v>0</v>
      </c>
      <c r="T28" s="1">
        <v>5.0505050500000001E-3</v>
      </c>
    </row>
    <row r="29" spans="1:20">
      <c r="A29">
        <v>9</v>
      </c>
      <c r="B29">
        <v>135770149</v>
      </c>
      <c r="C29" t="str">
        <f t="shared" si="0"/>
        <v>9:135770149</v>
      </c>
      <c r="D29">
        <v>2</v>
      </c>
      <c r="E29" s="1">
        <v>2.2222222199999999E-2</v>
      </c>
      <c r="F29">
        <v>4</v>
      </c>
      <c r="G29">
        <v>2</v>
      </c>
      <c r="H29" s="4">
        <v>0</v>
      </c>
      <c r="I29">
        <v>24</v>
      </c>
      <c r="J29">
        <v>0</v>
      </c>
      <c r="K29">
        <v>0</v>
      </c>
      <c r="L29">
        <v>0</v>
      </c>
      <c r="M29">
        <v>0</v>
      </c>
      <c r="N29">
        <v>0</v>
      </c>
      <c r="O29" t="str">
        <f t="shared" si="1"/>
        <v>G</v>
      </c>
      <c r="P29" t="str">
        <f t="shared" si="2"/>
        <v>T</v>
      </c>
      <c r="Q29">
        <f>IF(M29=0,0,VLOOKUP(M29,'aa codes'!$A$1:'aa codes'!$B$21,2))</f>
        <v>0</v>
      </c>
      <c r="R29">
        <f>IF(N29=0,0,VLOOKUP(N29,'aa codes'!$A$1:'aa codes'!$B$21,2))</f>
        <v>0</v>
      </c>
      <c r="S29" s="1">
        <v>1.47368421E-2</v>
      </c>
      <c r="T29" s="1">
        <v>2.2222222199999999E-2</v>
      </c>
    </row>
    <row r="30" spans="1:20">
      <c r="A30">
        <v>9</v>
      </c>
      <c r="B30">
        <v>135770160</v>
      </c>
      <c r="C30" t="str">
        <f t="shared" si="0"/>
        <v>9:135770160</v>
      </c>
      <c r="D30">
        <v>2</v>
      </c>
      <c r="E30" s="1">
        <v>5.8083252700000003E-3</v>
      </c>
      <c r="F30">
        <v>4</v>
      </c>
      <c r="G30">
        <v>1</v>
      </c>
      <c r="H30" s="4">
        <v>0</v>
      </c>
      <c r="I30">
        <v>24</v>
      </c>
      <c r="J30">
        <v>0</v>
      </c>
      <c r="K30">
        <v>0</v>
      </c>
      <c r="L30">
        <v>0</v>
      </c>
      <c r="M30">
        <v>0</v>
      </c>
      <c r="N30">
        <v>0</v>
      </c>
      <c r="O30" t="str">
        <f t="shared" si="1"/>
        <v>G</v>
      </c>
      <c r="P30" t="str">
        <f t="shared" si="2"/>
        <v>T</v>
      </c>
      <c r="Q30">
        <f>IF(M30=0,0,VLOOKUP(M30,'aa codes'!$A$1:'aa codes'!$B$21,2))</f>
        <v>0</v>
      </c>
      <c r="R30">
        <f>IF(N30=0,0,VLOOKUP(N30,'aa codes'!$A$1:'aa codes'!$B$21,2))</f>
        <v>0</v>
      </c>
      <c r="S30" s="1">
        <v>5.8083252700000003E-3</v>
      </c>
      <c r="T30" s="1">
        <v>0</v>
      </c>
    </row>
    <row r="31" spans="1:20">
      <c r="A31">
        <v>9</v>
      </c>
      <c r="B31">
        <v>135770250</v>
      </c>
      <c r="C31" t="str">
        <f t="shared" si="0"/>
        <v>9:135770250</v>
      </c>
      <c r="D31">
        <v>1</v>
      </c>
      <c r="E31" s="1">
        <v>0.49072753200000002</v>
      </c>
      <c r="F31">
        <v>3</v>
      </c>
      <c r="G31">
        <v>1</v>
      </c>
      <c r="H31" s="4">
        <v>0.24099999999999999</v>
      </c>
      <c r="I31">
        <v>24</v>
      </c>
      <c r="J31">
        <v>0</v>
      </c>
      <c r="K31">
        <v>0</v>
      </c>
      <c r="L31">
        <v>0</v>
      </c>
      <c r="M31">
        <v>0</v>
      </c>
      <c r="N31">
        <v>0</v>
      </c>
      <c r="O31" t="str">
        <f t="shared" si="1"/>
        <v>A</v>
      </c>
      <c r="P31" t="str">
        <f t="shared" si="2"/>
        <v>C</v>
      </c>
      <c r="Q31">
        <f>IF(M31=0,0,VLOOKUP(M31,'aa codes'!$A$1:'aa codes'!$B$21,2))</f>
        <v>0</v>
      </c>
      <c r="R31">
        <f>IF(N31=0,0,VLOOKUP(N31,'aa codes'!$A$1:'aa codes'!$B$21,2))</f>
        <v>0</v>
      </c>
      <c r="S31" s="1">
        <v>0</v>
      </c>
      <c r="T31" s="1">
        <v>0.49072753200000002</v>
      </c>
    </row>
    <row r="32" spans="1:20">
      <c r="A32">
        <v>9</v>
      </c>
      <c r="B32">
        <v>135770300</v>
      </c>
      <c r="C32" t="str">
        <f t="shared" si="0"/>
        <v>9:135770300</v>
      </c>
      <c r="D32">
        <v>2</v>
      </c>
      <c r="E32" s="1">
        <v>0.52021089600000003</v>
      </c>
      <c r="F32">
        <v>1</v>
      </c>
      <c r="G32">
        <v>2</v>
      </c>
      <c r="H32" s="4">
        <v>0.5514</v>
      </c>
      <c r="I32">
        <v>24</v>
      </c>
      <c r="J32">
        <v>0</v>
      </c>
      <c r="K32">
        <v>0</v>
      </c>
      <c r="L32">
        <v>0</v>
      </c>
      <c r="M32">
        <v>0</v>
      </c>
      <c r="N32">
        <v>0</v>
      </c>
      <c r="O32" t="str">
        <f t="shared" si="1"/>
        <v>G</v>
      </c>
      <c r="P32" t="str">
        <f t="shared" si="2"/>
        <v>A</v>
      </c>
      <c r="Q32">
        <f>IF(M32=0,0,VLOOKUP(M32,'aa codes'!$A$1:'aa codes'!$B$21,2))</f>
        <v>0</v>
      </c>
      <c r="R32">
        <f>IF(N32=0,0,VLOOKUP(N32,'aa codes'!$A$1:'aa codes'!$B$21,2))</f>
        <v>0</v>
      </c>
      <c r="S32" s="1">
        <v>0.52021089600000003</v>
      </c>
      <c r="T32" s="1">
        <v>0.51105331600000004</v>
      </c>
    </row>
    <row r="33" spans="1:20">
      <c r="A33">
        <v>9</v>
      </c>
      <c r="B33">
        <v>135770347</v>
      </c>
      <c r="C33" t="str">
        <f t="shared" si="0"/>
        <v>9:135770347</v>
      </c>
      <c r="D33">
        <v>1</v>
      </c>
      <c r="E33" s="1">
        <v>0.99876237599999995</v>
      </c>
      <c r="F33">
        <v>3</v>
      </c>
      <c r="G33">
        <v>2</v>
      </c>
      <c r="H33" s="4">
        <v>0.74419999999999997</v>
      </c>
      <c r="I33">
        <v>24</v>
      </c>
      <c r="J33">
        <v>0</v>
      </c>
      <c r="K33">
        <v>0</v>
      </c>
      <c r="L33">
        <v>0</v>
      </c>
      <c r="M33">
        <v>0</v>
      </c>
      <c r="N33">
        <v>0</v>
      </c>
      <c r="O33" t="str">
        <f t="shared" si="1"/>
        <v>A</v>
      </c>
      <c r="P33" t="str">
        <f t="shared" si="2"/>
        <v>C</v>
      </c>
      <c r="Q33">
        <f>IF(M33=0,0,VLOOKUP(M33,'aa codes'!$A$1:'aa codes'!$B$21,2))</f>
        <v>0</v>
      </c>
      <c r="R33">
        <f>IF(N33=0,0,VLOOKUP(N33,'aa codes'!$A$1:'aa codes'!$B$21,2))</f>
        <v>0</v>
      </c>
      <c r="S33" s="1">
        <v>0.50264550299999999</v>
      </c>
      <c r="T33" s="1">
        <v>0.99876237599999995</v>
      </c>
    </row>
    <row r="34" spans="1:20">
      <c r="A34">
        <v>9</v>
      </c>
      <c r="B34">
        <v>135772925</v>
      </c>
      <c r="C34" t="str">
        <f t="shared" si="0"/>
        <v>9:135772925</v>
      </c>
      <c r="D34">
        <v>2</v>
      </c>
      <c r="E34" s="1">
        <v>5.6925996199999997E-3</v>
      </c>
      <c r="F34">
        <v>4</v>
      </c>
      <c r="G34">
        <v>1</v>
      </c>
      <c r="H34" s="4">
        <v>0</v>
      </c>
      <c r="I34">
        <v>21</v>
      </c>
      <c r="J34">
        <v>0</v>
      </c>
      <c r="K34">
        <v>2698</v>
      </c>
      <c r="L34">
        <v>900</v>
      </c>
      <c r="M34">
        <v>104</v>
      </c>
      <c r="N34">
        <v>121</v>
      </c>
      <c r="O34" t="str">
        <f t="shared" si="1"/>
        <v>G</v>
      </c>
      <c r="P34" t="str">
        <f t="shared" si="2"/>
        <v>T</v>
      </c>
      <c r="Q34" t="str">
        <f>IF(M34=0,0,VLOOKUP(M34,'aa codes'!$A$1:'aa codes'!$B$21,2))</f>
        <v>E</v>
      </c>
      <c r="R34" t="str">
        <f>IF(N34=0,0,VLOOKUP(N34,'aa codes'!$A$1:'aa codes'!$B$21,2))</f>
        <v>*</v>
      </c>
      <c r="S34" s="1">
        <v>5.6925996199999997E-3</v>
      </c>
      <c r="T34" s="1">
        <v>0</v>
      </c>
    </row>
    <row r="35" spans="1:20">
      <c r="A35">
        <v>9</v>
      </c>
      <c r="B35">
        <v>135772950</v>
      </c>
      <c r="C35" t="str">
        <f t="shared" si="0"/>
        <v>9:135772950</v>
      </c>
      <c r="D35">
        <v>2</v>
      </c>
      <c r="E35" s="1">
        <v>5.42888165E-3</v>
      </c>
      <c r="F35">
        <v>4</v>
      </c>
      <c r="G35">
        <v>1</v>
      </c>
      <c r="H35" s="4">
        <v>0</v>
      </c>
      <c r="I35">
        <v>21</v>
      </c>
      <c r="J35">
        <v>0</v>
      </c>
      <c r="K35">
        <v>2673</v>
      </c>
      <c r="L35">
        <v>891</v>
      </c>
      <c r="M35">
        <v>109</v>
      </c>
      <c r="N35">
        <v>112</v>
      </c>
      <c r="O35" t="str">
        <f t="shared" si="1"/>
        <v>G</v>
      </c>
      <c r="P35" t="str">
        <f t="shared" si="2"/>
        <v>T</v>
      </c>
      <c r="Q35" t="str">
        <f>IF(M35=0,0,VLOOKUP(M35,'aa codes'!$A$1:'aa codes'!$B$21,2))</f>
        <v>K</v>
      </c>
      <c r="R35" t="str">
        <f>IF(N35=0,0,VLOOKUP(N35,'aa codes'!$A$1:'aa codes'!$B$21,2))</f>
        <v>N</v>
      </c>
      <c r="S35" s="1">
        <v>5.42888165E-3</v>
      </c>
      <c r="T35" s="1">
        <v>0</v>
      </c>
    </row>
    <row r="36" spans="1:20">
      <c r="A36">
        <v>9</v>
      </c>
      <c r="B36">
        <v>135772978</v>
      </c>
      <c r="C36" t="str">
        <f t="shared" si="0"/>
        <v>9:135772978</v>
      </c>
      <c r="D36">
        <v>2</v>
      </c>
      <c r="E36" s="1">
        <v>5.0632911399999996E-3</v>
      </c>
      <c r="F36">
        <v>1</v>
      </c>
      <c r="G36">
        <v>1</v>
      </c>
      <c r="H36" s="4">
        <v>0</v>
      </c>
      <c r="I36">
        <v>21</v>
      </c>
      <c r="J36">
        <v>0</v>
      </c>
      <c r="K36">
        <v>2645</v>
      </c>
      <c r="L36">
        <v>882</v>
      </c>
      <c r="M36">
        <v>106</v>
      </c>
      <c r="N36">
        <v>103</v>
      </c>
      <c r="O36" t="str">
        <f t="shared" si="1"/>
        <v>G</v>
      </c>
      <c r="P36" t="str">
        <f t="shared" si="2"/>
        <v>A</v>
      </c>
      <c r="Q36" t="str">
        <f>IF(M36=0,0,VLOOKUP(M36,'aa codes'!$A$1:'aa codes'!$B$21,2))</f>
        <v>G</v>
      </c>
      <c r="R36" t="str">
        <f>IF(N36=0,0,VLOOKUP(N36,'aa codes'!$A$1:'aa codes'!$B$21,2))</f>
        <v>D</v>
      </c>
      <c r="S36" s="1">
        <v>0</v>
      </c>
      <c r="T36" s="1">
        <v>5.0632911399999996E-3</v>
      </c>
    </row>
    <row r="37" spans="1:20">
      <c r="A37">
        <v>9</v>
      </c>
      <c r="B37">
        <v>135772999</v>
      </c>
      <c r="C37" t="str">
        <f t="shared" si="0"/>
        <v>9:135772999</v>
      </c>
      <c r="D37">
        <v>4</v>
      </c>
      <c r="E37" s="1">
        <v>1.9108280299999999E-2</v>
      </c>
      <c r="F37">
        <v>2</v>
      </c>
      <c r="G37">
        <v>2</v>
      </c>
      <c r="H37" s="4">
        <v>0</v>
      </c>
      <c r="I37">
        <v>21</v>
      </c>
      <c r="J37">
        <v>-2</v>
      </c>
      <c r="K37">
        <v>0</v>
      </c>
      <c r="L37">
        <v>0</v>
      </c>
      <c r="M37">
        <v>0</v>
      </c>
      <c r="N37">
        <v>0</v>
      </c>
      <c r="O37" t="str">
        <f t="shared" si="1"/>
        <v>T</v>
      </c>
      <c r="P37" t="str">
        <f t="shared" si="2"/>
        <v>G</v>
      </c>
      <c r="Q37">
        <f>IF(M37=0,0,VLOOKUP(M37,'aa codes'!$A$1:'aa codes'!$B$21,2))</f>
        <v>0</v>
      </c>
      <c r="R37">
        <f>IF(N37=0,0,VLOOKUP(N37,'aa codes'!$A$1:'aa codes'!$B$21,2))</f>
        <v>0</v>
      </c>
      <c r="S37" s="1">
        <v>1.6539440200000002E-2</v>
      </c>
      <c r="T37" s="1">
        <v>1.9108280299999999E-2</v>
      </c>
    </row>
    <row r="38" spans="1:20">
      <c r="A38">
        <v>9</v>
      </c>
      <c r="B38">
        <v>135773000</v>
      </c>
      <c r="C38" t="str">
        <f t="shared" si="0"/>
        <v>9:135773000</v>
      </c>
      <c r="D38">
        <v>2</v>
      </c>
      <c r="E38" s="1">
        <v>3.2934131700000001E-2</v>
      </c>
      <c r="F38">
        <v>1</v>
      </c>
      <c r="G38">
        <v>2</v>
      </c>
      <c r="H38" s="4">
        <v>0</v>
      </c>
      <c r="I38">
        <v>21</v>
      </c>
      <c r="J38">
        <v>-3</v>
      </c>
      <c r="K38">
        <v>0</v>
      </c>
      <c r="L38">
        <v>0</v>
      </c>
      <c r="M38">
        <v>0</v>
      </c>
      <c r="N38">
        <v>0</v>
      </c>
      <c r="O38" t="str">
        <f t="shared" si="1"/>
        <v>G</v>
      </c>
      <c r="P38" t="str">
        <f t="shared" si="2"/>
        <v>A</v>
      </c>
      <c r="Q38">
        <f>IF(M38=0,0,VLOOKUP(M38,'aa codes'!$A$1:'aa codes'!$B$21,2))</f>
        <v>0</v>
      </c>
      <c r="R38">
        <f>IF(N38=0,0,VLOOKUP(N38,'aa codes'!$A$1:'aa codes'!$B$21,2))</f>
        <v>0</v>
      </c>
      <c r="S38" s="1">
        <v>3.2934131700000001E-2</v>
      </c>
      <c r="T38" s="1">
        <v>1.8279569900000001E-2</v>
      </c>
    </row>
    <row r="39" spans="1:20">
      <c r="A39">
        <v>9</v>
      </c>
      <c r="B39">
        <v>135773002</v>
      </c>
      <c r="C39" t="str">
        <f t="shared" si="0"/>
        <v>9:135773002</v>
      </c>
      <c r="D39">
        <v>1</v>
      </c>
      <c r="E39" s="1">
        <v>5.8823529400000001E-3</v>
      </c>
      <c r="F39">
        <v>2</v>
      </c>
      <c r="G39">
        <v>1</v>
      </c>
      <c r="H39" s="4">
        <v>0</v>
      </c>
      <c r="I39">
        <v>21</v>
      </c>
      <c r="J39">
        <v>-5</v>
      </c>
      <c r="K39">
        <v>0</v>
      </c>
      <c r="L39">
        <v>0</v>
      </c>
      <c r="M39">
        <v>0</v>
      </c>
      <c r="N39">
        <v>0</v>
      </c>
      <c r="O39" t="str">
        <f t="shared" si="1"/>
        <v>A</v>
      </c>
      <c r="P39" t="str">
        <f t="shared" si="2"/>
        <v>G</v>
      </c>
      <c r="Q39">
        <f>IF(M39=0,0,VLOOKUP(M39,'aa codes'!$A$1:'aa codes'!$B$21,2))</f>
        <v>0</v>
      </c>
      <c r="R39">
        <f>IF(N39=0,0,VLOOKUP(N39,'aa codes'!$A$1:'aa codes'!$B$21,2))</f>
        <v>0</v>
      </c>
      <c r="S39" s="1">
        <v>4.8426150099999997E-3</v>
      </c>
      <c r="T39" s="1">
        <v>5.8823529400000001E-3</v>
      </c>
    </row>
    <row r="40" spans="1:20">
      <c r="A40">
        <v>9</v>
      </c>
      <c r="B40">
        <v>135773017</v>
      </c>
      <c r="C40" t="str">
        <f t="shared" si="0"/>
        <v>9:135773017</v>
      </c>
      <c r="D40">
        <v>1</v>
      </c>
      <c r="E40" s="1">
        <v>8.7431694000000004E-3</v>
      </c>
      <c r="F40">
        <v>2</v>
      </c>
      <c r="G40">
        <v>1</v>
      </c>
      <c r="H40" s="4">
        <v>0</v>
      </c>
      <c r="I40">
        <v>21</v>
      </c>
      <c r="J40">
        <v>-20</v>
      </c>
      <c r="K40">
        <v>0</v>
      </c>
      <c r="L40">
        <v>0</v>
      </c>
      <c r="M40">
        <v>0</v>
      </c>
      <c r="N40">
        <v>0</v>
      </c>
      <c r="O40" t="str">
        <f t="shared" si="1"/>
        <v>A</v>
      </c>
      <c r="P40" t="str">
        <f t="shared" si="2"/>
        <v>G</v>
      </c>
      <c r="Q40">
        <f>IF(M40=0,0,VLOOKUP(M40,'aa codes'!$A$1:'aa codes'!$B$21,2))</f>
        <v>0</v>
      </c>
      <c r="R40">
        <f>IF(N40=0,0,VLOOKUP(N40,'aa codes'!$A$1:'aa codes'!$B$21,2))</f>
        <v>0</v>
      </c>
      <c r="S40" s="1">
        <v>8.7431694000000004E-3</v>
      </c>
      <c r="T40" s="1">
        <v>3.3840947499999999E-3</v>
      </c>
    </row>
    <row r="41" spans="1:20">
      <c r="A41">
        <v>9</v>
      </c>
      <c r="B41">
        <v>135773019</v>
      </c>
      <c r="C41" t="str">
        <f t="shared" si="0"/>
        <v>9:135773019</v>
      </c>
      <c r="D41">
        <v>2</v>
      </c>
      <c r="E41" s="1">
        <v>4.71567268E-2</v>
      </c>
      <c r="F41">
        <v>1</v>
      </c>
      <c r="G41">
        <v>2</v>
      </c>
      <c r="H41" s="4">
        <v>0</v>
      </c>
      <c r="I41">
        <v>21</v>
      </c>
      <c r="J41">
        <v>-22</v>
      </c>
      <c r="K41">
        <v>0</v>
      </c>
      <c r="L41">
        <v>0</v>
      </c>
      <c r="M41">
        <v>0</v>
      </c>
      <c r="N41">
        <v>0</v>
      </c>
      <c r="O41" t="str">
        <f t="shared" si="1"/>
        <v>G</v>
      </c>
      <c r="P41" t="str">
        <f t="shared" si="2"/>
        <v>A</v>
      </c>
      <c r="Q41">
        <f>IF(M41=0,0,VLOOKUP(M41,'aa codes'!$A$1:'aa codes'!$B$21,2))</f>
        <v>0</v>
      </c>
      <c r="R41">
        <f>IF(N41=0,0,VLOOKUP(N41,'aa codes'!$A$1:'aa codes'!$B$21,2))</f>
        <v>0</v>
      </c>
      <c r="S41" s="1">
        <v>4.71567268E-2</v>
      </c>
      <c r="T41" s="1">
        <v>4.3478260900000003E-2</v>
      </c>
    </row>
    <row r="42" spans="1:20">
      <c r="A42">
        <v>9</v>
      </c>
      <c r="B42">
        <v>135773021</v>
      </c>
      <c r="C42" t="str">
        <f t="shared" si="0"/>
        <v>9:135773021</v>
      </c>
      <c r="D42">
        <v>3</v>
      </c>
      <c r="E42" s="1">
        <v>1.14678899E-2</v>
      </c>
      <c r="F42">
        <v>1</v>
      </c>
      <c r="G42">
        <v>2</v>
      </c>
      <c r="H42" s="4">
        <v>0</v>
      </c>
      <c r="I42">
        <v>21</v>
      </c>
      <c r="J42">
        <v>-24</v>
      </c>
      <c r="K42">
        <v>0</v>
      </c>
      <c r="L42">
        <v>0</v>
      </c>
      <c r="M42">
        <v>0</v>
      </c>
      <c r="N42">
        <v>0</v>
      </c>
      <c r="O42" t="str">
        <f t="shared" si="1"/>
        <v>C</v>
      </c>
      <c r="P42" t="str">
        <f t="shared" si="2"/>
        <v>A</v>
      </c>
      <c r="Q42">
        <f>IF(M42=0,0,VLOOKUP(M42,'aa codes'!$A$1:'aa codes'!$B$21,2))</f>
        <v>0</v>
      </c>
      <c r="R42">
        <f>IF(N42=0,0,VLOOKUP(N42,'aa codes'!$A$1:'aa codes'!$B$21,2))</f>
        <v>0</v>
      </c>
      <c r="S42" s="1">
        <v>7.9155672800000007E-3</v>
      </c>
      <c r="T42" s="1">
        <v>1.14678899E-2</v>
      </c>
    </row>
    <row r="43" spans="1:20">
      <c r="A43">
        <v>9</v>
      </c>
      <c r="B43">
        <v>135773022</v>
      </c>
      <c r="C43" t="str">
        <f t="shared" si="0"/>
        <v>9:135773022</v>
      </c>
      <c r="D43">
        <v>4</v>
      </c>
      <c r="E43" s="1">
        <v>5.9171597600000004E-3</v>
      </c>
      <c r="F43">
        <v>1</v>
      </c>
      <c r="G43">
        <v>1</v>
      </c>
      <c r="H43" s="4">
        <v>0</v>
      </c>
      <c r="I43">
        <v>21</v>
      </c>
      <c r="J43">
        <v>-25</v>
      </c>
      <c r="K43">
        <v>0</v>
      </c>
      <c r="L43">
        <v>0</v>
      </c>
      <c r="M43">
        <v>0</v>
      </c>
      <c r="N43">
        <v>0</v>
      </c>
      <c r="O43" t="str">
        <f t="shared" si="1"/>
        <v>T</v>
      </c>
      <c r="P43" t="str">
        <f t="shared" si="2"/>
        <v>A</v>
      </c>
      <c r="Q43">
        <f>IF(M43=0,0,VLOOKUP(M43,'aa codes'!$A$1:'aa codes'!$B$21,2))</f>
        <v>0</v>
      </c>
      <c r="R43">
        <f>IF(N43=0,0,VLOOKUP(N43,'aa codes'!$A$1:'aa codes'!$B$21,2))</f>
        <v>0</v>
      </c>
      <c r="S43" s="1">
        <v>2.4783147500000002E-3</v>
      </c>
      <c r="T43" s="1">
        <v>5.9171597600000004E-3</v>
      </c>
    </row>
    <row r="44" spans="1:20">
      <c r="A44">
        <v>9</v>
      </c>
      <c r="B44">
        <v>135773044</v>
      </c>
      <c r="C44" t="str">
        <f t="shared" si="0"/>
        <v>9:135773044</v>
      </c>
      <c r="D44">
        <v>4</v>
      </c>
      <c r="E44" s="1">
        <v>6.5616797900000003E-3</v>
      </c>
      <c r="F44">
        <v>1</v>
      </c>
      <c r="G44">
        <v>1</v>
      </c>
      <c r="H44" s="4">
        <v>0</v>
      </c>
      <c r="I44">
        <v>21</v>
      </c>
      <c r="J44">
        <v>-47</v>
      </c>
      <c r="K44">
        <v>0</v>
      </c>
      <c r="L44">
        <v>0</v>
      </c>
      <c r="M44">
        <v>0</v>
      </c>
      <c r="N44">
        <v>0</v>
      </c>
      <c r="O44" t="str">
        <f t="shared" si="1"/>
        <v>T</v>
      </c>
      <c r="P44" t="str">
        <f t="shared" si="2"/>
        <v>A</v>
      </c>
      <c r="Q44">
        <f>IF(M44=0,0,VLOOKUP(M44,'aa codes'!$A$1:'aa codes'!$B$21,2))</f>
        <v>0</v>
      </c>
      <c r="R44">
        <f>IF(N44=0,0,VLOOKUP(N44,'aa codes'!$A$1:'aa codes'!$B$21,2))</f>
        <v>0</v>
      </c>
      <c r="S44" s="1">
        <v>6.5616797900000003E-3</v>
      </c>
      <c r="T44" s="1">
        <v>1.8181818200000001E-3</v>
      </c>
    </row>
    <row r="45" spans="1:20">
      <c r="A45">
        <v>9</v>
      </c>
      <c r="B45">
        <v>135773048</v>
      </c>
      <c r="C45" t="str">
        <f t="shared" si="0"/>
        <v>9:135773048</v>
      </c>
      <c r="D45">
        <v>3</v>
      </c>
      <c r="E45" s="1">
        <v>3.0104711999999999E-2</v>
      </c>
      <c r="F45">
        <v>1</v>
      </c>
      <c r="G45">
        <v>2</v>
      </c>
      <c r="H45" s="4">
        <v>0</v>
      </c>
      <c r="I45">
        <v>21</v>
      </c>
      <c r="J45">
        <v>-51</v>
      </c>
      <c r="K45">
        <v>0</v>
      </c>
      <c r="L45">
        <v>0</v>
      </c>
      <c r="M45">
        <v>0</v>
      </c>
      <c r="N45">
        <v>0</v>
      </c>
      <c r="O45" t="str">
        <f t="shared" si="1"/>
        <v>C</v>
      </c>
      <c r="P45" t="str">
        <f t="shared" si="2"/>
        <v>A</v>
      </c>
      <c r="Q45">
        <f>IF(M45=0,0,VLOOKUP(M45,'aa codes'!$A$1:'aa codes'!$B$21,2))</f>
        <v>0</v>
      </c>
      <c r="R45">
        <f>IF(N45=0,0,VLOOKUP(N45,'aa codes'!$A$1:'aa codes'!$B$21,2))</f>
        <v>0</v>
      </c>
      <c r="S45" s="1">
        <v>3.0104711999999999E-2</v>
      </c>
      <c r="T45" s="1">
        <v>1.9963702400000002E-2</v>
      </c>
    </row>
    <row r="46" spans="1:20">
      <c r="A46">
        <v>9</v>
      </c>
      <c r="B46">
        <v>135773072</v>
      </c>
      <c r="C46" t="str">
        <f t="shared" si="0"/>
        <v>9:135773072</v>
      </c>
      <c r="D46">
        <v>3</v>
      </c>
      <c r="E46" s="1">
        <v>9.6969697000000004E-3</v>
      </c>
      <c r="F46">
        <v>1</v>
      </c>
      <c r="G46">
        <v>1</v>
      </c>
      <c r="H46" s="4">
        <v>0</v>
      </c>
      <c r="I46">
        <v>21</v>
      </c>
      <c r="J46">
        <v>-75</v>
      </c>
      <c r="K46">
        <v>0</v>
      </c>
      <c r="L46">
        <v>0</v>
      </c>
      <c r="M46">
        <v>0</v>
      </c>
      <c r="N46">
        <v>0</v>
      </c>
      <c r="O46" t="str">
        <f t="shared" si="1"/>
        <v>C</v>
      </c>
      <c r="P46" t="str">
        <f t="shared" si="2"/>
        <v>A</v>
      </c>
      <c r="Q46">
        <f>IF(M46=0,0,VLOOKUP(M46,'aa codes'!$A$1:'aa codes'!$B$21,2))</f>
        <v>0</v>
      </c>
      <c r="R46">
        <f>IF(N46=0,0,VLOOKUP(N46,'aa codes'!$A$1:'aa codes'!$B$21,2))</f>
        <v>0</v>
      </c>
      <c r="S46" s="1">
        <v>9.6969697000000004E-3</v>
      </c>
      <c r="T46" s="1">
        <v>1.7182130600000001E-3</v>
      </c>
    </row>
    <row r="47" spans="1:20">
      <c r="A47">
        <v>9</v>
      </c>
      <c r="B47">
        <v>135774059</v>
      </c>
      <c r="C47" t="str">
        <f t="shared" si="0"/>
        <v>9:135774059</v>
      </c>
      <c r="D47">
        <v>4</v>
      </c>
      <c r="E47" s="1">
        <v>0.51396160599999996</v>
      </c>
      <c r="F47">
        <v>3</v>
      </c>
      <c r="G47">
        <v>2</v>
      </c>
      <c r="H47" s="4">
        <v>0.38819999999999999</v>
      </c>
      <c r="I47">
        <v>21</v>
      </c>
      <c r="J47">
        <v>-1062</v>
      </c>
      <c r="K47">
        <v>0</v>
      </c>
      <c r="L47">
        <v>0</v>
      </c>
      <c r="M47">
        <v>0</v>
      </c>
      <c r="N47">
        <v>0</v>
      </c>
      <c r="O47" t="str">
        <f t="shared" si="1"/>
        <v>T</v>
      </c>
      <c r="P47" t="str">
        <f t="shared" si="2"/>
        <v>C</v>
      </c>
      <c r="Q47">
        <f>IF(M47=0,0,VLOOKUP(M47,'aa codes'!$A$1:'aa codes'!$B$21,2))</f>
        <v>0</v>
      </c>
      <c r="R47">
        <f>IF(N47=0,0,VLOOKUP(N47,'aa codes'!$A$1:'aa codes'!$B$21,2))</f>
        <v>0</v>
      </c>
      <c r="S47" s="1">
        <v>0.51396160599999996</v>
      </c>
      <c r="T47" s="1">
        <v>0.49511400700000002</v>
      </c>
    </row>
    <row r="48" spans="1:20">
      <c r="A48">
        <v>9</v>
      </c>
      <c r="B48">
        <v>135774164</v>
      </c>
      <c r="C48" t="str">
        <f t="shared" si="0"/>
        <v>9:135774164</v>
      </c>
      <c r="D48">
        <v>4</v>
      </c>
      <c r="E48" s="1">
        <v>0.49575551800000001</v>
      </c>
      <c r="F48">
        <v>3</v>
      </c>
      <c r="G48">
        <v>1</v>
      </c>
      <c r="H48" s="4">
        <v>0.25</v>
      </c>
      <c r="I48">
        <v>21</v>
      </c>
      <c r="J48">
        <v>-1167</v>
      </c>
      <c r="K48">
        <v>0</v>
      </c>
      <c r="L48">
        <v>0</v>
      </c>
      <c r="M48">
        <v>0</v>
      </c>
      <c r="N48">
        <v>0</v>
      </c>
      <c r="O48" t="str">
        <f t="shared" si="1"/>
        <v>T</v>
      </c>
      <c r="P48" t="str">
        <f t="shared" si="2"/>
        <v>C</v>
      </c>
      <c r="Q48">
        <f>IF(M48=0,0,VLOOKUP(M48,'aa codes'!$A$1:'aa codes'!$B$21,2))</f>
        <v>0</v>
      </c>
      <c r="R48">
        <f>IF(N48=0,0,VLOOKUP(N48,'aa codes'!$A$1:'aa codes'!$B$21,2))</f>
        <v>0</v>
      </c>
      <c r="S48" s="1">
        <v>0.49575551800000001</v>
      </c>
      <c r="T48" s="1">
        <v>0</v>
      </c>
    </row>
    <row r="49" spans="1:20">
      <c r="A49">
        <v>9</v>
      </c>
      <c r="B49">
        <v>135774422</v>
      </c>
      <c r="C49" t="str">
        <f t="shared" si="0"/>
        <v>9:135774422</v>
      </c>
      <c r="D49">
        <v>3</v>
      </c>
      <c r="E49" s="1">
        <v>7.8125E-3</v>
      </c>
      <c r="F49">
        <v>4</v>
      </c>
      <c r="G49">
        <v>1</v>
      </c>
      <c r="H49" s="4">
        <v>0</v>
      </c>
      <c r="I49">
        <v>21</v>
      </c>
      <c r="J49">
        <v>-1425</v>
      </c>
      <c r="K49">
        <v>0</v>
      </c>
      <c r="L49">
        <v>0</v>
      </c>
      <c r="M49">
        <v>0</v>
      </c>
      <c r="N49">
        <v>0</v>
      </c>
      <c r="O49" t="str">
        <f t="shared" si="1"/>
        <v>C</v>
      </c>
      <c r="P49" t="str">
        <f t="shared" si="2"/>
        <v>T</v>
      </c>
      <c r="Q49">
        <f>IF(M49=0,0,VLOOKUP(M49,'aa codes'!$A$1:'aa codes'!$B$21,2))</f>
        <v>0</v>
      </c>
      <c r="R49">
        <f>IF(N49=0,0,VLOOKUP(N49,'aa codes'!$A$1:'aa codes'!$B$21,2))</f>
        <v>0</v>
      </c>
      <c r="S49" s="1">
        <v>7.8125E-3</v>
      </c>
      <c r="T49" s="1">
        <v>0</v>
      </c>
    </row>
    <row r="50" spans="1:20">
      <c r="A50">
        <v>9</v>
      </c>
      <c r="B50">
        <v>135774434</v>
      </c>
      <c r="C50" t="str">
        <f t="shared" si="0"/>
        <v>9:135774434</v>
      </c>
      <c r="D50">
        <v>4</v>
      </c>
      <c r="E50" s="1">
        <v>5.5555555599999997E-3</v>
      </c>
      <c r="F50">
        <v>3</v>
      </c>
      <c r="G50">
        <v>1</v>
      </c>
      <c r="H50" s="4">
        <v>0</v>
      </c>
      <c r="I50">
        <v>21</v>
      </c>
      <c r="J50">
        <v>-1437</v>
      </c>
      <c r="K50">
        <v>0</v>
      </c>
      <c r="L50">
        <v>0</v>
      </c>
      <c r="M50">
        <v>0</v>
      </c>
      <c r="N50">
        <v>0</v>
      </c>
      <c r="O50" t="str">
        <f t="shared" si="1"/>
        <v>T</v>
      </c>
      <c r="P50" t="str">
        <f t="shared" si="2"/>
        <v>C</v>
      </c>
      <c r="Q50">
        <f>IF(M50=0,0,VLOOKUP(M50,'aa codes'!$A$1:'aa codes'!$B$21,2))</f>
        <v>0</v>
      </c>
      <c r="R50">
        <f>IF(N50=0,0,VLOOKUP(N50,'aa codes'!$A$1:'aa codes'!$B$21,2))</f>
        <v>0</v>
      </c>
      <c r="S50" s="1">
        <v>5.5555555599999997E-3</v>
      </c>
      <c r="T50" s="1">
        <v>0</v>
      </c>
    </row>
    <row r="51" spans="1:20">
      <c r="A51">
        <v>9</v>
      </c>
      <c r="B51">
        <v>135774435</v>
      </c>
      <c r="C51" t="str">
        <f t="shared" si="0"/>
        <v>9:135774435</v>
      </c>
      <c r="D51">
        <v>3</v>
      </c>
      <c r="E51" s="1">
        <v>5.6179775300000002E-3</v>
      </c>
      <c r="F51">
        <v>4</v>
      </c>
      <c r="G51">
        <v>1</v>
      </c>
      <c r="H51" s="4">
        <v>0</v>
      </c>
      <c r="I51">
        <v>21</v>
      </c>
      <c r="J51">
        <v>-1438</v>
      </c>
      <c r="K51">
        <v>0</v>
      </c>
      <c r="L51">
        <v>0</v>
      </c>
      <c r="M51">
        <v>0</v>
      </c>
      <c r="N51">
        <v>0</v>
      </c>
      <c r="O51" t="str">
        <f t="shared" si="1"/>
        <v>C</v>
      </c>
      <c r="P51" t="str">
        <f t="shared" si="2"/>
        <v>T</v>
      </c>
      <c r="Q51">
        <f>IF(M51=0,0,VLOOKUP(M51,'aa codes'!$A$1:'aa codes'!$B$21,2))</f>
        <v>0</v>
      </c>
      <c r="R51">
        <f>IF(N51=0,0,VLOOKUP(N51,'aa codes'!$A$1:'aa codes'!$B$21,2))</f>
        <v>0</v>
      </c>
      <c r="S51" s="1">
        <v>5.6179775300000002E-3</v>
      </c>
      <c r="T51" s="1">
        <v>0</v>
      </c>
    </row>
    <row r="52" spans="1:20">
      <c r="A52">
        <v>9</v>
      </c>
      <c r="B52">
        <v>135774444</v>
      </c>
      <c r="C52" t="str">
        <f t="shared" si="0"/>
        <v>9:135774444</v>
      </c>
      <c r="D52">
        <v>2</v>
      </c>
      <c r="E52" s="1">
        <v>5.81395349E-3</v>
      </c>
      <c r="F52">
        <v>3</v>
      </c>
      <c r="G52">
        <v>1</v>
      </c>
      <c r="H52" s="4">
        <v>0</v>
      </c>
      <c r="I52">
        <v>21</v>
      </c>
      <c r="J52">
        <v>-1447</v>
      </c>
      <c r="K52">
        <v>0</v>
      </c>
      <c r="L52">
        <v>0</v>
      </c>
      <c r="M52">
        <v>0</v>
      </c>
      <c r="N52">
        <v>0</v>
      </c>
      <c r="O52" t="str">
        <f t="shared" si="1"/>
        <v>G</v>
      </c>
      <c r="P52" t="str">
        <f t="shared" si="2"/>
        <v>C</v>
      </c>
      <c r="Q52">
        <f>IF(M52=0,0,VLOOKUP(M52,'aa codes'!$A$1:'aa codes'!$B$21,2))</f>
        <v>0</v>
      </c>
      <c r="R52">
        <f>IF(N52=0,0,VLOOKUP(N52,'aa codes'!$A$1:'aa codes'!$B$21,2))</f>
        <v>0</v>
      </c>
      <c r="S52" s="1">
        <v>5.81395349E-3</v>
      </c>
      <c r="T52" s="1">
        <v>0</v>
      </c>
    </row>
    <row r="53" spans="1:20">
      <c r="A53">
        <v>9</v>
      </c>
      <c r="B53">
        <v>135774487</v>
      </c>
      <c r="C53" t="str">
        <f t="shared" si="0"/>
        <v>9:135774487</v>
      </c>
      <c r="D53">
        <v>2</v>
      </c>
      <c r="E53" s="1">
        <v>5.7971014499999998E-3</v>
      </c>
      <c r="F53">
        <v>1</v>
      </c>
      <c r="G53">
        <v>1</v>
      </c>
      <c r="H53" s="4">
        <v>0</v>
      </c>
      <c r="I53">
        <v>21</v>
      </c>
      <c r="J53">
        <v>-1490</v>
      </c>
      <c r="K53">
        <v>0</v>
      </c>
      <c r="L53">
        <v>0</v>
      </c>
      <c r="M53">
        <v>0</v>
      </c>
      <c r="N53">
        <v>0</v>
      </c>
      <c r="O53" t="str">
        <f t="shared" si="1"/>
        <v>G</v>
      </c>
      <c r="P53" t="str">
        <f t="shared" si="2"/>
        <v>A</v>
      </c>
      <c r="Q53">
        <f>IF(M53=0,0,VLOOKUP(M53,'aa codes'!$A$1:'aa codes'!$B$21,2))</f>
        <v>0</v>
      </c>
      <c r="R53">
        <f>IF(N53=0,0,VLOOKUP(N53,'aa codes'!$A$1:'aa codes'!$B$21,2))</f>
        <v>0</v>
      </c>
      <c r="S53" s="1">
        <v>5.7971014499999998E-3</v>
      </c>
      <c r="T53" s="1">
        <v>0</v>
      </c>
    </row>
    <row r="54" spans="1:20">
      <c r="A54">
        <v>9</v>
      </c>
      <c r="B54">
        <v>135775203</v>
      </c>
      <c r="C54" t="str">
        <f t="shared" si="0"/>
        <v>9:135775203</v>
      </c>
      <c r="D54">
        <v>3</v>
      </c>
      <c r="E54" s="1">
        <v>0.49044586000000001</v>
      </c>
      <c r="F54">
        <v>1</v>
      </c>
      <c r="G54">
        <v>2</v>
      </c>
      <c r="H54" s="4">
        <v>0.61140000000000005</v>
      </c>
      <c r="I54">
        <v>20</v>
      </c>
      <c r="J54">
        <v>899</v>
      </c>
      <c r="K54">
        <v>0</v>
      </c>
      <c r="L54">
        <v>0</v>
      </c>
      <c r="M54">
        <v>0</v>
      </c>
      <c r="N54">
        <v>0</v>
      </c>
      <c r="O54" t="str">
        <f t="shared" si="1"/>
        <v>C</v>
      </c>
      <c r="P54" t="str">
        <f t="shared" si="2"/>
        <v>A</v>
      </c>
      <c r="Q54">
        <f>IF(M54=0,0,VLOOKUP(M54,'aa codes'!$A$1:'aa codes'!$B$21,2))</f>
        <v>0</v>
      </c>
      <c r="R54">
        <f>IF(N54=0,0,VLOOKUP(N54,'aa codes'!$A$1:'aa codes'!$B$21,2))</f>
        <v>0</v>
      </c>
      <c r="S54" s="1">
        <v>0.473731077</v>
      </c>
      <c r="T54" s="1">
        <v>0.49044586000000001</v>
      </c>
    </row>
    <row r="55" spans="1:20">
      <c r="A55">
        <v>9</v>
      </c>
      <c r="B55">
        <v>135775717</v>
      </c>
      <c r="C55" t="str">
        <f t="shared" si="0"/>
        <v>9:135775717</v>
      </c>
      <c r="D55">
        <v>2</v>
      </c>
      <c r="E55" s="1">
        <v>8.4985835700000009E-3</v>
      </c>
      <c r="F55">
        <v>1</v>
      </c>
      <c r="G55">
        <v>2</v>
      </c>
      <c r="H55" s="4">
        <v>0</v>
      </c>
      <c r="I55">
        <v>20</v>
      </c>
      <c r="J55">
        <v>385</v>
      </c>
      <c r="K55">
        <v>0</v>
      </c>
      <c r="L55">
        <v>0</v>
      </c>
      <c r="M55">
        <v>0</v>
      </c>
      <c r="N55">
        <v>0</v>
      </c>
      <c r="O55" t="str">
        <f t="shared" si="1"/>
        <v>G</v>
      </c>
      <c r="P55" t="str">
        <f t="shared" si="2"/>
        <v>A</v>
      </c>
      <c r="Q55">
        <f>IF(M55=0,0,VLOOKUP(M55,'aa codes'!$A$1:'aa codes'!$B$21,2))</f>
        <v>0</v>
      </c>
      <c r="R55">
        <f>IF(N55=0,0,VLOOKUP(N55,'aa codes'!$A$1:'aa codes'!$B$21,2))</f>
        <v>0</v>
      </c>
      <c r="S55" s="1">
        <v>8.4985835700000009E-3</v>
      </c>
      <c r="T55" s="1">
        <v>5.07614213E-3</v>
      </c>
    </row>
    <row r="56" spans="1:20">
      <c r="A56">
        <v>9</v>
      </c>
      <c r="B56">
        <v>135775719</v>
      </c>
      <c r="C56" t="str">
        <f t="shared" si="0"/>
        <v>9:135775719</v>
      </c>
      <c r="D56">
        <v>1</v>
      </c>
      <c r="E56" s="1">
        <v>1.21293801E-2</v>
      </c>
      <c r="F56">
        <v>2</v>
      </c>
      <c r="G56">
        <v>2</v>
      </c>
      <c r="H56" s="4">
        <v>0</v>
      </c>
      <c r="I56">
        <v>20</v>
      </c>
      <c r="J56">
        <v>383</v>
      </c>
      <c r="K56">
        <v>0</v>
      </c>
      <c r="L56">
        <v>0</v>
      </c>
      <c r="M56">
        <v>0</v>
      </c>
      <c r="N56">
        <v>0</v>
      </c>
      <c r="O56" t="str">
        <f t="shared" si="1"/>
        <v>A</v>
      </c>
      <c r="P56" t="str">
        <f t="shared" si="2"/>
        <v>G</v>
      </c>
      <c r="Q56">
        <f>IF(M56=0,0,VLOOKUP(M56,'aa codes'!$A$1:'aa codes'!$B$21,2))</f>
        <v>0</v>
      </c>
      <c r="R56">
        <f>IF(N56=0,0,VLOOKUP(N56,'aa codes'!$A$1:'aa codes'!$B$21,2))</f>
        <v>0</v>
      </c>
      <c r="S56" s="1">
        <v>1.1928429399999999E-2</v>
      </c>
      <c r="T56" s="1">
        <v>1.21293801E-2</v>
      </c>
    </row>
    <row r="57" spans="1:20">
      <c r="A57">
        <v>9</v>
      </c>
      <c r="B57">
        <v>135776034</v>
      </c>
      <c r="C57" t="str">
        <f t="shared" si="0"/>
        <v>9:135776034</v>
      </c>
      <c r="D57">
        <v>3</v>
      </c>
      <c r="E57" s="1">
        <v>0.50698323999999995</v>
      </c>
      <c r="F57">
        <v>4</v>
      </c>
      <c r="G57">
        <v>2</v>
      </c>
      <c r="H57" s="4">
        <v>0.38940000000000002</v>
      </c>
      <c r="I57">
        <v>20</v>
      </c>
      <c r="J57">
        <v>68</v>
      </c>
      <c r="K57">
        <v>0</v>
      </c>
      <c r="L57">
        <v>0</v>
      </c>
      <c r="M57">
        <v>0</v>
      </c>
      <c r="N57">
        <v>0</v>
      </c>
      <c r="O57" t="str">
        <f t="shared" si="1"/>
        <v>C</v>
      </c>
      <c r="P57" t="str">
        <f t="shared" si="2"/>
        <v>T</v>
      </c>
      <c r="Q57">
        <f>IF(M57=0,0,VLOOKUP(M57,'aa codes'!$A$1:'aa codes'!$B$21,2))</f>
        <v>0</v>
      </c>
      <c r="R57">
        <f>IF(N57=0,0,VLOOKUP(N57,'aa codes'!$A$1:'aa codes'!$B$21,2))</f>
        <v>0</v>
      </c>
      <c r="S57" s="1">
        <v>0.47573656800000003</v>
      </c>
      <c r="T57" s="1">
        <v>0.50698323999999995</v>
      </c>
    </row>
    <row r="58" spans="1:20">
      <c r="A58">
        <v>9</v>
      </c>
      <c r="B58">
        <v>135776107</v>
      </c>
      <c r="C58" t="str">
        <f t="shared" si="0"/>
        <v>9:135776107</v>
      </c>
      <c r="D58">
        <v>4</v>
      </c>
      <c r="E58" s="1">
        <v>5.6818181800000001E-3</v>
      </c>
      <c r="F58">
        <v>1</v>
      </c>
      <c r="G58">
        <v>1</v>
      </c>
      <c r="H58" s="4">
        <v>0</v>
      </c>
      <c r="I58">
        <v>20</v>
      </c>
      <c r="J58">
        <v>0</v>
      </c>
      <c r="K58">
        <v>2620</v>
      </c>
      <c r="L58">
        <v>874</v>
      </c>
      <c r="M58">
        <v>116</v>
      </c>
      <c r="N58">
        <v>117</v>
      </c>
      <c r="O58" t="str">
        <f t="shared" si="1"/>
        <v>T</v>
      </c>
      <c r="P58" t="str">
        <f t="shared" si="2"/>
        <v>A</v>
      </c>
      <c r="Q58" t="str">
        <f>IF(M58=0,0,VLOOKUP(M58,'aa codes'!$A$1:'aa codes'!$B$21,2))</f>
        <v>S</v>
      </c>
      <c r="R58" t="str">
        <f>IF(N58=0,0,VLOOKUP(N58,'aa codes'!$A$1:'aa codes'!$B$21,2))</f>
        <v>T</v>
      </c>
      <c r="S58" s="1">
        <v>0</v>
      </c>
      <c r="T58" s="1">
        <v>5.6818181800000001E-3</v>
      </c>
    </row>
    <row r="59" spans="1:20">
      <c r="A59">
        <v>9</v>
      </c>
      <c r="B59">
        <v>135777368</v>
      </c>
      <c r="C59" t="str">
        <f t="shared" si="0"/>
        <v>9:135777368</v>
      </c>
      <c r="D59">
        <v>1</v>
      </c>
      <c r="E59" s="1">
        <v>9.1533180800000002E-3</v>
      </c>
      <c r="F59">
        <v>4</v>
      </c>
      <c r="G59">
        <v>1</v>
      </c>
      <c r="H59" s="4">
        <v>0</v>
      </c>
      <c r="I59">
        <v>19</v>
      </c>
      <c r="J59">
        <v>-282</v>
      </c>
      <c r="K59">
        <v>0</v>
      </c>
      <c r="L59">
        <v>0</v>
      </c>
      <c r="M59">
        <v>0</v>
      </c>
      <c r="N59">
        <v>0</v>
      </c>
      <c r="O59" t="str">
        <f t="shared" si="1"/>
        <v>A</v>
      </c>
      <c r="P59" t="str">
        <f t="shared" si="2"/>
        <v>T</v>
      </c>
      <c r="Q59">
        <f>IF(M59=0,0,VLOOKUP(M59,'aa codes'!$A$1:'aa codes'!$B$21,2))</f>
        <v>0</v>
      </c>
      <c r="R59">
        <f>IF(N59=0,0,VLOOKUP(N59,'aa codes'!$A$1:'aa codes'!$B$21,2))</f>
        <v>0</v>
      </c>
      <c r="S59" s="1">
        <v>0</v>
      </c>
      <c r="T59" s="1">
        <v>9.1533180800000002E-3</v>
      </c>
    </row>
    <row r="60" spans="1:20">
      <c r="A60">
        <v>9</v>
      </c>
      <c r="B60">
        <v>135777437</v>
      </c>
      <c r="C60" t="str">
        <f t="shared" si="0"/>
        <v>9:135777437</v>
      </c>
      <c r="D60">
        <v>4</v>
      </c>
      <c r="E60" s="1">
        <v>7.8947368399999995E-3</v>
      </c>
      <c r="F60">
        <v>1</v>
      </c>
      <c r="G60">
        <v>1</v>
      </c>
      <c r="H60" s="4">
        <v>0</v>
      </c>
      <c r="I60">
        <v>19</v>
      </c>
      <c r="J60">
        <v>-351</v>
      </c>
      <c r="K60">
        <v>0</v>
      </c>
      <c r="L60">
        <v>0</v>
      </c>
      <c r="M60">
        <v>0</v>
      </c>
      <c r="N60">
        <v>0</v>
      </c>
      <c r="O60" t="str">
        <f t="shared" si="1"/>
        <v>T</v>
      </c>
      <c r="P60" t="str">
        <f t="shared" si="2"/>
        <v>A</v>
      </c>
      <c r="Q60">
        <f>IF(M60=0,0,VLOOKUP(M60,'aa codes'!$A$1:'aa codes'!$B$21,2))</f>
        <v>0</v>
      </c>
      <c r="R60">
        <f>IF(N60=0,0,VLOOKUP(N60,'aa codes'!$A$1:'aa codes'!$B$21,2))</f>
        <v>0</v>
      </c>
      <c r="S60" s="1">
        <v>0</v>
      </c>
      <c r="T60" s="1">
        <v>7.8947368399999995E-3</v>
      </c>
    </row>
    <row r="61" spans="1:20">
      <c r="A61">
        <v>9</v>
      </c>
      <c r="B61">
        <v>135777439</v>
      </c>
      <c r="C61" t="str">
        <f t="shared" si="0"/>
        <v>9:135777439</v>
      </c>
      <c r="D61">
        <v>2</v>
      </c>
      <c r="E61" s="1">
        <v>5.1282051299999997E-3</v>
      </c>
      <c r="F61">
        <v>1</v>
      </c>
      <c r="G61">
        <v>1</v>
      </c>
      <c r="H61" s="4">
        <v>0</v>
      </c>
      <c r="I61">
        <v>19</v>
      </c>
      <c r="J61">
        <v>-353</v>
      </c>
      <c r="K61">
        <v>0</v>
      </c>
      <c r="L61">
        <v>0</v>
      </c>
      <c r="M61">
        <v>0</v>
      </c>
      <c r="N61">
        <v>0</v>
      </c>
      <c r="O61" t="str">
        <f t="shared" si="1"/>
        <v>G</v>
      </c>
      <c r="P61" t="str">
        <f t="shared" si="2"/>
        <v>A</v>
      </c>
      <c r="Q61">
        <f>IF(M61=0,0,VLOOKUP(M61,'aa codes'!$A$1:'aa codes'!$B$21,2))</f>
        <v>0</v>
      </c>
      <c r="R61">
        <f>IF(N61=0,0,VLOOKUP(N61,'aa codes'!$A$1:'aa codes'!$B$21,2))</f>
        <v>0</v>
      </c>
      <c r="S61" s="1">
        <v>0</v>
      </c>
      <c r="T61" s="1">
        <v>5.1282051299999997E-3</v>
      </c>
    </row>
    <row r="62" spans="1:20">
      <c r="A62">
        <v>9</v>
      </c>
      <c r="B62">
        <v>135777449</v>
      </c>
      <c r="C62" t="str">
        <f t="shared" si="0"/>
        <v>9:135777449</v>
      </c>
      <c r="D62">
        <v>4</v>
      </c>
      <c r="E62" s="1">
        <v>5.0125313300000002E-3</v>
      </c>
      <c r="F62">
        <v>1</v>
      </c>
      <c r="G62">
        <v>1</v>
      </c>
      <c r="H62" s="4">
        <v>0</v>
      </c>
      <c r="I62">
        <v>19</v>
      </c>
      <c r="J62">
        <v>-363</v>
      </c>
      <c r="K62">
        <v>0</v>
      </c>
      <c r="L62">
        <v>0</v>
      </c>
      <c r="M62">
        <v>0</v>
      </c>
      <c r="N62">
        <v>0</v>
      </c>
      <c r="O62" t="str">
        <f t="shared" si="1"/>
        <v>T</v>
      </c>
      <c r="P62" t="str">
        <f t="shared" si="2"/>
        <v>A</v>
      </c>
      <c r="Q62">
        <f>IF(M62=0,0,VLOOKUP(M62,'aa codes'!$A$1:'aa codes'!$B$21,2))</f>
        <v>0</v>
      </c>
      <c r="R62">
        <f>IF(N62=0,0,VLOOKUP(N62,'aa codes'!$A$1:'aa codes'!$B$21,2))</f>
        <v>0</v>
      </c>
      <c r="S62" s="1">
        <v>8.9285714300000002E-4</v>
      </c>
      <c r="T62" s="1">
        <v>5.0125313300000002E-3</v>
      </c>
    </row>
    <row r="63" spans="1:20">
      <c r="A63">
        <v>9</v>
      </c>
      <c r="B63">
        <v>135777462</v>
      </c>
      <c r="C63" t="str">
        <f t="shared" si="0"/>
        <v>9:135777462</v>
      </c>
      <c r="D63">
        <v>2</v>
      </c>
      <c r="E63" s="1">
        <v>6.9124423999999997E-3</v>
      </c>
      <c r="F63">
        <v>1</v>
      </c>
      <c r="G63">
        <v>1</v>
      </c>
      <c r="H63" s="4">
        <v>0</v>
      </c>
      <c r="I63">
        <v>19</v>
      </c>
      <c r="J63">
        <v>-376</v>
      </c>
      <c r="K63">
        <v>0</v>
      </c>
      <c r="L63">
        <v>0</v>
      </c>
      <c r="M63">
        <v>0</v>
      </c>
      <c r="N63">
        <v>0</v>
      </c>
      <c r="O63" t="str">
        <f t="shared" si="1"/>
        <v>G</v>
      </c>
      <c r="P63" t="str">
        <f t="shared" si="2"/>
        <v>A</v>
      </c>
      <c r="Q63">
        <f>IF(M63=0,0,VLOOKUP(M63,'aa codes'!$A$1:'aa codes'!$B$21,2))</f>
        <v>0</v>
      </c>
      <c r="R63">
        <f>IF(N63=0,0,VLOOKUP(N63,'aa codes'!$A$1:'aa codes'!$B$21,2))</f>
        <v>0</v>
      </c>
      <c r="S63" s="1">
        <v>9.0415913199999999E-4</v>
      </c>
      <c r="T63" s="1">
        <v>6.9124423999999997E-3</v>
      </c>
    </row>
    <row r="64" spans="1:20">
      <c r="A64">
        <v>9</v>
      </c>
      <c r="B64">
        <v>135779172</v>
      </c>
      <c r="C64" t="str">
        <f t="shared" si="0"/>
        <v>9:135779172</v>
      </c>
      <c r="D64">
        <v>2</v>
      </c>
      <c r="E64" s="1">
        <v>0.50149700600000002</v>
      </c>
      <c r="F64">
        <v>1</v>
      </c>
      <c r="G64">
        <v>1</v>
      </c>
      <c r="H64" s="4">
        <v>0</v>
      </c>
      <c r="I64">
        <v>17</v>
      </c>
      <c r="J64">
        <v>0</v>
      </c>
      <c r="K64">
        <v>2074</v>
      </c>
      <c r="L64">
        <v>692</v>
      </c>
      <c r="M64">
        <v>106</v>
      </c>
      <c r="N64">
        <v>115</v>
      </c>
      <c r="O64" t="str">
        <f t="shared" si="1"/>
        <v>G</v>
      </c>
      <c r="P64" t="str">
        <f t="shared" si="2"/>
        <v>A</v>
      </c>
      <c r="Q64" t="str">
        <f>IF(M64=0,0,VLOOKUP(M64,'aa codes'!$A$1:'aa codes'!$B$21,2))</f>
        <v>G</v>
      </c>
      <c r="R64" t="str">
        <f>IF(N64=0,0,VLOOKUP(N64,'aa codes'!$A$1:'aa codes'!$B$21,2))</f>
        <v>R</v>
      </c>
      <c r="S64" s="1">
        <v>9.6432015399999999E-4</v>
      </c>
      <c r="T64" s="1">
        <v>0.50149700600000002</v>
      </c>
    </row>
    <row r="65" spans="1:20">
      <c r="A65">
        <v>9</v>
      </c>
      <c r="B65">
        <v>135780288</v>
      </c>
      <c r="C65" t="str">
        <f t="shared" si="0"/>
        <v>9:135780288</v>
      </c>
      <c r="D65">
        <v>1</v>
      </c>
      <c r="E65" s="1">
        <v>1</v>
      </c>
      <c r="F65">
        <v>2</v>
      </c>
      <c r="G65">
        <v>2</v>
      </c>
      <c r="H65" s="4">
        <v>0.9728</v>
      </c>
      <c r="I65">
        <v>16</v>
      </c>
      <c r="J65">
        <v>-447</v>
      </c>
      <c r="K65">
        <v>0</v>
      </c>
      <c r="L65">
        <v>0</v>
      </c>
      <c r="M65">
        <v>0</v>
      </c>
      <c r="N65">
        <v>0</v>
      </c>
      <c r="O65" t="str">
        <f t="shared" si="1"/>
        <v>A</v>
      </c>
      <c r="P65" t="str">
        <f t="shared" si="2"/>
        <v>G</v>
      </c>
      <c r="Q65">
        <f>IF(M65=0,0,VLOOKUP(M65,'aa codes'!$A$1:'aa codes'!$B$21,2))</f>
        <v>0</v>
      </c>
      <c r="R65">
        <f>IF(N65=0,0,VLOOKUP(N65,'aa codes'!$A$1:'aa codes'!$B$21,2))</f>
        <v>0</v>
      </c>
      <c r="S65" s="1">
        <v>0.998041136</v>
      </c>
      <c r="T65" s="1">
        <v>1</v>
      </c>
    </row>
    <row r="66" spans="1:20">
      <c r="A66">
        <v>9</v>
      </c>
      <c r="B66">
        <v>135781134</v>
      </c>
      <c r="C66" t="str">
        <f t="shared" si="0"/>
        <v>9:135781134</v>
      </c>
      <c r="D66">
        <v>3</v>
      </c>
      <c r="E66" s="1">
        <v>5.2424639599999998E-3</v>
      </c>
      <c r="F66">
        <v>4</v>
      </c>
      <c r="G66">
        <v>1</v>
      </c>
      <c r="H66" s="4">
        <v>0</v>
      </c>
      <c r="I66">
        <v>15</v>
      </c>
      <c r="J66">
        <v>0</v>
      </c>
      <c r="K66">
        <v>1831</v>
      </c>
      <c r="L66">
        <v>611</v>
      </c>
      <c r="M66">
        <v>113</v>
      </c>
      <c r="N66">
        <v>116</v>
      </c>
      <c r="O66" t="str">
        <f t="shared" si="1"/>
        <v>C</v>
      </c>
      <c r="P66" t="str">
        <f t="shared" si="2"/>
        <v>T</v>
      </c>
      <c r="Q66" t="str">
        <f>IF(M66=0,0,VLOOKUP(M66,'aa codes'!$A$1:'aa codes'!$B$21,2))</f>
        <v>P</v>
      </c>
      <c r="R66" t="str">
        <f>IF(N66=0,0,VLOOKUP(N66,'aa codes'!$A$1:'aa codes'!$B$21,2))</f>
        <v>S</v>
      </c>
      <c r="S66" s="1">
        <v>1.9138756E-3</v>
      </c>
      <c r="T66" s="1">
        <v>5.2424639599999998E-3</v>
      </c>
    </row>
    <row r="67" spans="1:20">
      <c r="A67">
        <v>9</v>
      </c>
      <c r="B67">
        <v>135781769</v>
      </c>
      <c r="C67" t="str">
        <f t="shared" ref="C67:C130" si="3">A67&amp;":"&amp;B67</f>
        <v>9:135781769</v>
      </c>
      <c r="D67">
        <v>3</v>
      </c>
      <c r="E67" s="1">
        <v>8.4269662900000007E-3</v>
      </c>
      <c r="F67">
        <v>1</v>
      </c>
      <c r="G67">
        <v>1</v>
      </c>
      <c r="H67" s="4">
        <v>0</v>
      </c>
      <c r="I67">
        <v>15</v>
      </c>
      <c r="J67">
        <v>-243</v>
      </c>
      <c r="K67">
        <v>0</v>
      </c>
      <c r="L67">
        <v>0</v>
      </c>
      <c r="M67">
        <v>0</v>
      </c>
      <c r="N67">
        <v>0</v>
      </c>
      <c r="O67" t="str">
        <f t="shared" ref="O67:O130" si="4">IF(D67=1,"A",IF(D67=2,"G",IF(D67=3,"C",IF(D67=4,"T","2NT"))))</f>
        <v>C</v>
      </c>
      <c r="P67" t="str">
        <f t="shared" ref="P67:P130" si="5">IF(F67=1,"A",IF(F67=2,"G",IF(F67=3,"C",IF(F67=4,"T","2NT"))))</f>
        <v>A</v>
      </c>
      <c r="Q67">
        <f>IF(M67=0,0,VLOOKUP(M67,'aa codes'!$A$1:'aa codes'!$B$21,2))</f>
        <v>0</v>
      </c>
      <c r="R67">
        <f>IF(N67=0,0,VLOOKUP(N67,'aa codes'!$A$1:'aa codes'!$B$21,2))</f>
        <v>0</v>
      </c>
      <c r="S67" s="1">
        <v>2.1834061100000001E-3</v>
      </c>
      <c r="T67" s="1">
        <v>8.4269662900000007E-3</v>
      </c>
    </row>
    <row r="68" spans="1:20">
      <c r="A68">
        <v>9</v>
      </c>
      <c r="B68">
        <v>135781776</v>
      </c>
      <c r="C68" t="str">
        <f t="shared" si="3"/>
        <v>9:135781776</v>
      </c>
      <c r="D68">
        <v>4</v>
      </c>
      <c r="E68" s="1">
        <v>8.4269662900000007E-3</v>
      </c>
      <c r="F68">
        <v>1</v>
      </c>
      <c r="G68">
        <v>1</v>
      </c>
      <c r="H68" s="4">
        <v>0</v>
      </c>
      <c r="I68">
        <v>15</v>
      </c>
      <c r="J68">
        <v>-250</v>
      </c>
      <c r="K68">
        <v>0</v>
      </c>
      <c r="L68">
        <v>0</v>
      </c>
      <c r="M68">
        <v>0</v>
      </c>
      <c r="N68">
        <v>0</v>
      </c>
      <c r="O68" t="str">
        <f t="shared" si="4"/>
        <v>T</v>
      </c>
      <c r="P68" t="str">
        <f t="shared" si="5"/>
        <v>A</v>
      </c>
      <c r="Q68">
        <f>IF(M68=0,0,VLOOKUP(M68,'aa codes'!$A$1:'aa codes'!$B$21,2))</f>
        <v>0</v>
      </c>
      <c r="R68">
        <f>IF(N68=0,0,VLOOKUP(N68,'aa codes'!$A$1:'aa codes'!$B$21,2))</f>
        <v>0</v>
      </c>
      <c r="S68" s="1">
        <v>2.1834061100000001E-3</v>
      </c>
      <c r="T68" s="1">
        <v>8.4269662900000007E-3</v>
      </c>
    </row>
    <row r="69" spans="1:20">
      <c r="A69">
        <v>9</v>
      </c>
      <c r="B69">
        <v>135781778</v>
      </c>
      <c r="C69" t="str">
        <f t="shared" si="3"/>
        <v>9:135781778</v>
      </c>
      <c r="D69">
        <v>3</v>
      </c>
      <c r="E69" s="1">
        <v>8.1967213100000002E-3</v>
      </c>
      <c r="F69">
        <v>1</v>
      </c>
      <c r="G69">
        <v>1</v>
      </c>
      <c r="H69" s="4">
        <v>0</v>
      </c>
      <c r="I69">
        <v>15</v>
      </c>
      <c r="J69">
        <v>-252</v>
      </c>
      <c r="K69">
        <v>0</v>
      </c>
      <c r="L69">
        <v>0</v>
      </c>
      <c r="M69">
        <v>0</v>
      </c>
      <c r="N69">
        <v>0</v>
      </c>
      <c r="O69" t="str">
        <f t="shared" si="4"/>
        <v>C</v>
      </c>
      <c r="P69" t="str">
        <f t="shared" si="5"/>
        <v>A</v>
      </c>
      <c r="Q69">
        <f>IF(M69=0,0,VLOOKUP(M69,'aa codes'!$A$1:'aa codes'!$B$21,2))</f>
        <v>0</v>
      </c>
      <c r="R69">
        <f>IF(N69=0,0,VLOOKUP(N69,'aa codes'!$A$1:'aa codes'!$B$21,2))</f>
        <v>0</v>
      </c>
      <c r="S69" s="1">
        <v>2.1834061100000001E-3</v>
      </c>
      <c r="T69" s="1">
        <v>8.1967213100000002E-3</v>
      </c>
    </row>
    <row r="70" spans="1:20">
      <c r="A70">
        <v>9</v>
      </c>
      <c r="B70">
        <v>135781781</v>
      </c>
      <c r="C70" t="str">
        <f t="shared" si="3"/>
        <v>9:135781781</v>
      </c>
      <c r="D70">
        <v>4</v>
      </c>
      <c r="E70" s="1">
        <v>8.4269662900000007E-3</v>
      </c>
      <c r="F70">
        <v>1</v>
      </c>
      <c r="G70">
        <v>1</v>
      </c>
      <c r="H70" s="4">
        <v>0</v>
      </c>
      <c r="I70">
        <v>15</v>
      </c>
      <c r="J70">
        <v>-255</v>
      </c>
      <c r="K70">
        <v>0</v>
      </c>
      <c r="L70">
        <v>0</v>
      </c>
      <c r="M70">
        <v>0</v>
      </c>
      <c r="N70">
        <v>0</v>
      </c>
      <c r="O70" t="str">
        <f t="shared" si="4"/>
        <v>T</v>
      </c>
      <c r="P70" t="str">
        <f t="shared" si="5"/>
        <v>A</v>
      </c>
      <c r="Q70">
        <f>IF(M70=0,0,VLOOKUP(M70,'aa codes'!$A$1:'aa codes'!$B$21,2))</f>
        <v>0</v>
      </c>
      <c r="R70">
        <f>IF(N70=0,0,VLOOKUP(N70,'aa codes'!$A$1:'aa codes'!$B$21,2))</f>
        <v>0</v>
      </c>
      <c r="S70" s="1">
        <v>2.2123893800000002E-3</v>
      </c>
      <c r="T70" s="1">
        <v>8.4269662900000007E-3</v>
      </c>
    </row>
    <row r="71" spans="1:20">
      <c r="A71">
        <v>9</v>
      </c>
      <c r="B71">
        <v>135781806</v>
      </c>
      <c r="C71" t="str">
        <f t="shared" si="3"/>
        <v>9:135781806</v>
      </c>
      <c r="D71">
        <v>4</v>
      </c>
      <c r="E71" s="1">
        <v>6.2695924799999999E-3</v>
      </c>
      <c r="F71">
        <v>3</v>
      </c>
      <c r="G71">
        <v>1</v>
      </c>
      <c r="H71" s="4">
        <v>0</v>
      </c>
      <c r="I71">
        <v>15</v>
      </c>
      <c r="J71">
        <v>-280</v>
      </c>
      <c r="K71">
        <v>0</v>
      </c>
      <c r="L71">
        <v>0</v>
      </c>
      <c r="M71">
        <v>0</v>
      </c>
      <c r="N71">
        <v>0</v>
      </c>
      <c r="O71" t="str">
        <f t="shared" si="4"/>
        <v>T</v>
      </c>
      <c r="P71" t="str">
        <f t="shared" si="5"/>
        <v>C</v>
      </c>
      <c r="Q71">
        <f>IF(M71=0,0,VLOOKUP(M71,'aa codes'!$A$1:'aa codes'!$B$21,2))</f>
        <v>0</v>
      </c>
      <c r="R71">
        <f>IF(N71=0,0,VLOOKUP(N71,'aa codes'!$A$1:'aa codes'!$B$21,2))</f>
        <v>0</v>
      </c>
      <c r="S71" s="1">
        <v>0</v>
      </c>
      <c r="T71" s="1">
        <v>6.2695924799999999E-3</v>
      </c>
    </row>
    <row r="72" spans="1:20">
      <c r="A72">
        <v>9</v>
      </c>
      <c r="B72">
        <v>135781808</v>
      </c>
      <c r="C72" t="str">
        <f t="shared" si="3"/>
        <v>9:135781808</v>
      </c>
      <c r="D72">
        <v>4</v>
      </c>
      <c r="E72" s="1">
        <v>6.2893081799999997E-3</v>
      </c>
      <c r="F72">
        <v>3</v>
      </c>
      <c r="G72">
        <v>1</v>
      </c>
      <c r="H72" s="4">
        <v>0</v>
      </c>
      <c r="I72">
        <v>15</v>
      </c>
      <c r="J72">
        <v>-282</v>
      </c>
      <c r="K72">
        <v>0</v>
      </c>
      <c r="L72">
        <v>0</v>
      </c>
      <c r="M72">
        <v>0</v>
      </c>
      <c r="N72">
        <v>0</v>
      </c>
      <c r="O72" t="str">
        <f t="shared" si="4"/>
        <v>T</v>
      </c>
      <c r="P72" t="str">
        <f t="shared" si="5"/>
        <v>C</v>
      </c>
      <c r="Q72">
        <f>IF(M72=0,0,VLOOKUP(M72,'aa codes'!$A$1:'aa codes'!$B$21,2))</f>
        <v>0</v>
      </c>
      <c r="R72">
        <f>IF(N72=0,0,VLOOKUP(N72,'aa codes'!$A$1:'aa codes'!$B$21,2))</f>
        <v>0</v>
      </c>
      <c r="S72" s="1">
        <v>0</v>
      </c>
      <c r="T72" s="1">
        <v>6.2893081799999997E-3</v>
      </c>
    </row>
    <row r="73" spans="1:20">
      <c r="A73">
        <v>9</v>
      </c>
      <c r="B73">
        <v>135781816</v>
      </c>
      <c r="C73" t="str">
        <f t="shared" si="3"/>
        <v>9:135781816</v>
      </c>
      <c r="D73">
        <v>2</v>
      </c>
      <c r="E73" s="1">
        <v>9.0090090099999992E-3</v>
      </c>
      <c r="F73">
        <v>1</v>
      </c>
      <c r="G73">
        <v>1</v>
      </c>
      <c r="H73" s="4">
        <v>0</v>
      </c>
      <c r="I73">
        <v>15</v>
      </c>
      <c r="J73">
        <v>-290</v>
      </c>
      <c r="K73">
        <v>0</v>
      </c>
      <c r="L73">
        <v>0</v>
      </c>
      <c r="M73">
        <v>0</v>
      </c>
      <c r="N73">
        <v>0</v>
      </c>
      <c r="O73" t="str">
        <f t="shared" si="4"/>
        <v>G</v>
      </c>
      <c r="P73" t="str">
        <f t="shared" si="5"/>
        <v>A</v>
      </c>
      <c r="Q73">
        <f>IF(M73=0,0,VLOOKUP(M73,'aa codes'!$A$1:'aa codes'!$B$21,2))</f>
        <v>0</v>
      </c>
      <c r="R73">
        <f>IF(N73=0,0,VLOOKUP(N73,'aa codes'!$A$1:'aa codes'!$B$21,2))</f>
        <v>0</v>
      </c>
      <c r="S73" s="1">
        <v>0</v>
      </c>
      <c r="T73" s="1">
        <v>9.0090090099999992E-3</v>
      </c>
    </row>
    <row r="74" spans="1:20">
      <c r="A74">
        <v>9</v>
      </c>
      <c r="B74">
        <v>135781846</v>
      </c>
      <c r="C74" t="str">
        <f t="shared" si="3"/>
        <v>9:135781846</v>
      </c>
      <c r="D74">
        <v>2</v>
      </c>
      <c r="E74" s="1">
        <v>5.97014925E-3</v>
      </c>
      <c r="F74">
        <v>1</v>
      </c>
      <c r="G74">
        <v>1</v>
      </c>
      <c r="H74" s="4">
        <v>1.6200000000000001E-4</v>
      </c>
      <c r="I74">
        <v>14</v>
      </c>
      <c r="J74">
        <v>272</v>
      </c>
      <c r="K74">
        <v>0</v>
      </c>
      <c r="L74">
        <v>0</v>
      </c>
      <c r="M74">
        <v>0</v>
      </c>
      <c r="N74">
        <v>0</v>
      </c>
      <c r="O74" t="str">
        <f t="shared" si="4"/>
        <v>G</v>
      </c>
      <c r="P74" t="str">
        <f t="shared" si="5"/>
        <v>A</v>
      </c>
      <c r="Q74">
        <f>IF(M74=0,0,VLOOKUP(M74,'aa codes'!$A$1:'aa codes'!$B$21,2))</f>
        <v>0</v>
      </c>
      <c r="R74">
        <f>IF(N74=0,0,VLOOKUP(N74,'aa codes'!$A$1:'aa codes'!$B$21,2))</f>
        <v>0</v>
      </c>
      <c r="S74" s="1">
        <v>0</v>
      </c>
      <c r="T74" s="1">
        <v>5.97014925E-3</v>
      </c>
    </row>
    <row r="75" spans="1:20">
      <c r="A75">
        <v>9</v>
      </c>
      <c r="B75">
        <v>135781886</v>
      </c>
      <c r="C75" t="str">
        <f t="shared" si="3"/>
        <v>9:135781886</v>
      </c>
      <c r="D75">
        <v>4</v>
      </c>
      <c r="E75" s="1">
        <v>6.2695924799999999E-3</v>
      </c>
      <c r="F75">
        <v>1</v>
      </c>
      <c r="G75">
        <v>1</v>
      </c>
      <c r="H75" s="4">
        <v>0</v>
      </c>
      <c r="I75">
        <v>14</v>
      </c>
      <c r="J75">
        <v>232</v>
      </c>
      <c r="K75">
        <v>0</v>
      </c>
      <c r="L75">
        <v>0</v>
      </c>
      <c r="M75">
        <v>0</v>
      </c>
      <c r="N75">
        <v>0</v>
      </c>
      <c r="O75" t="str">
        <f t="shared" si="4"/>
        <v>T</v>
      </c>
      <c r="P75" t="str">
        <f t="shared" si="5"/>
        <v>A</v>
      </c>
      <c r="Q75">
        <f>IF(M75=0,0,VLOOKUP(M75,'aa codes'!$A$1:'aa codes'!$B$21,2))</f>
        <v>0</v>
      </c>
      <c r="R75">
        <f>IF(N75=0,0,VLOOKUP(N75,'aa codes'!$A$1:'aa codes'!$B$21,2))</f>
        <v>0</v>
      </c>
      <c r="S75" s="1">
        <v>4.5045045000000001E-3</v>
      </c>
      <c r="T75" s="1">
        <v>6.2695924799999999E-3</v>
      </c>
    </row>
    <row r="76" spans="1:20">
      <c r="A76">
        <v>9</v>
      </c>
      <c r="B76">
        <v>135781889</v>
      </c>
      <c r="C76" t="str">
        <f t="shared" si="3"/>
        <v>9:135781889</v>
      </c>
      <c r="D76">
        <v>4</v>
      </c>
      <c r="E76" s="1">
        <v>6.2305295999999996E-3</v>
      </c>
      <c r="F76">
        <v>1</v>
      </c>
      <c r="G76">
        <v>1</v>
      </c>
      <c r="H76" s="4">
        <v>0</v>
      </c>
      <c r="I76">
        <v>14</v>
      </c>
      <c r="J76">
        <v>229</v>
      </c>
      <c r="K76">
        <v>0</v>
      </c>
      <c r="L76">
        <v>0</v>
      </c>
      <c r="M76">
        <v>0</v>
      </c>
      <c r="N76">
        <v>0</v>
      </c>
      <c r="O76" t="str">
        <f t="shared" si="4"/>
        <v>T</v>
      </c>
      <c r="P76" t="str">
        <f t="shared" si="5"/>
        <v>A</v>
      </c>
      <c r="Q76">
        <f>IF(M76=0,0,VLOOKUP(M76,'aa codes'!$A$1:'aa codes'!$B$21,2))</f>
        <v>0</v>
      </c>
      <c r="R76">
        <f>IF(N76=0,0,VLOOKUP(N76,'aa codes'!$A$1:'aa codes'!$B$21,2))</f>
        <v>0</v>
      </c>
      <c r="S76" s="1">
        <v>0</v>
      </c>
      <c r="T76" s="1">
        <v>6.2305295999999996E-3</v>
      </c>
    </row>
    <row r="77" spans="1:20">
      <c r="A77">
        <v>9</v>
      </c>
      <c r="B77">
        <v>135781914</v>
      </c>
      <c r="C77" t="str">
        <f t="shared" si="3"/>
        <v>9:135781914</v>
      </c>
      <c r="D77">
        <v>4</v>
      </c>
      <c r="E77" s="1">
        <v>6.2111801199999997E-3</v>
      </c>
      <c r="F77">
        <v>2</v>
      </c>
      <c r="G77">
        <v>1</v>
      </c>
      <c r="H77" s="4">
        <v>0</v>
      </c>
      <c r="I77">
        <v>14</v>
      </c>
      <c r="J77">
        <v>204</v>
      </c>
      <c r="K77">
        <v>0</v>
      </c>
      <c r="L77">
        <v>0</v>
      </c>
      <c r="M77">
        <v>0</v>
      </c>
      <c r="N77">
        <v>0</v>
      </c>
      <c r="O77" t="str">
        <f t="shared" si="4"/>
        <v>T</v>
      </c>
      <c r="P77" t="str">
        <f t="shared" si="5"/>
        <v>G</v>
      </c>
      <c r="Q77">
        <f>IF(M77=0,0,VLOOKUP(M77,'aa codes'!$A$1:'aa codes'!$B$21,2))</f>
        <v>0</v>
      </c>
      <c r="R77">
        <f>IF(N77=0,0,VLOOKUP(N77,'aa codes'!$A$1:'aa codes'!$B$21,2))</f>
        <v>0</v>
      </c>
      <c r="S77" s="1">
        <v>2.3980815299999999E-3</v>
      </c>
      <c r="T77" s="1">
        <v>6.2111801199999997E-3</v>
      </c>
    </row>
    <row r="78" spans="1:20">
      <c r="A78">
        <v>9</v>
      </c>
      <c r="B78">
        <v>135781921</v>
      </c>
      <c r="C78" t="str">
        <f t="shared" si="3"/>
        <v>9:135781921</v>
      </c>
      <c r="D78">
        <v>2</v>
      </c>
      <c r="E78" s="1">
        <v>6.2111801199999997E-3</v>
      </c>
      <c r="F78">
        <v>1</v>
      </c>
      <c r="G78">
        <v>1</v>
      </c>
      <c r="H78" s="4">
        <v>0</v>
      </c>
      <c r="I78">
        <v>14</v>
      </c>
      <c r="J78">
        <v>197</v>
      </c>
      <c r="K78">
        <v>0</v>
      </c>
      <c r="L78">
        <v>0</v>
      </c>
      <c r="M78">
        <v>0</v>
      </c>
      <c r="N78">
        <v>0</v>
      </c>
      <c r="O78" t="str">
        <f t="shared" si="4"/>
        <v>G</v>
      </c>
      <c r="P78" t="str">
        <f t="shared" si="5"/>
        <v>A</v>
      </c>
      <c r="Q78">
        <f>IF(M78=0,0,VLOOKUP(M78,'aa codes'!$A$1:'aa codes'!$B$21,2))</f>
        <v>0</v>
      </c>
      <c r="R78">
        <f>IF(N78=0,0,VLOOKUP(N78,'aa codes'!$A$1:'aa codes'!$B$21,2))</f>
        <v>0</v>
      </c>
      <c r="S78" s="1">
        <v>2.30946882E-3</v>
      </c>
      <c r="T78" s="1">
        <v>6.2111801199999997E-3</v>
      </c>
    </row>
    <row r="79" spans="1:20">
      <c r="A79">
        <v>9</v>
      </c>
      <c r="B79">
        <v>135781934</v>
      </c>
      <c r="C79" t="str">
        <f t="shared" si="3"/>
        <v>9:135781934</v>
      </c>
      <c r="D79">
        <v>4</v>
      </c>
      <c r="E79" s="1">
        <v>8.2417582400000008E-3</v>
      </c>
      <c r="F79">
        <v>13</v>
      </c>
      <c r="G79">
        <v>2</v>
      </c>
      <c r="H79" s="4">
        <v>0</v>
      </c>
      <c r="I79">
        <v>14</v>
      </c>
      <c r="J79">
        <v>184</v>
      </c>
      <c r="K79">
        <v>0</v>
      </c>
      <c r="L79">
        <v>0</v>
      </c>
      <c r="M79">
        <v>0</v>
      </c>
      <c r="N79">
        <v>0</v>
      </c>
      <c r="O79" t="str">
        <f t="shared" si="4"/>
        <v>T</v>
      </c>
      <c r="P79" t="str">
        <f t="shared" si="5"/>
        <v>2NT</v>
      </c>
      <c r="Q79">
        <f>IF(M79=0,0,VLOOKUP(M79,'aa codes'!$A$1:'aa codes'!$B$21,2))</f>
        <v>0</v>
      </c>
      <c r="R79">
        <f>IF(N79=0,0,VLOOKUP(N79,'aa codes'!$A$1:'aa codes'!$B$21,2))</f>
        <v>0</v>
      </c>
      <c r="S79" s="1">
        <v>6.2111801199999997E-3</v>
      </c>
      <c r="T79" s="1">
        <v>8.2417582400000008E-3</v>
      </c>
    </row>
    <row r="80" spans="1:20">
      <c r="A80">
        <v>9</v>
      </c>
      <c r="B80">
        <v>135781935</v>
      </c>
      <c r="C80" t="str">
        <f t="shared" si="3"/>
        <v>9:135781935</v>
      </c>
      <c r="D80">
        <v>3</v>
      </c>
      <c r="E80" s="1">
        <v>1.8232819099999999E-2</v>
      </c>
      <c r="F80">
        <v>1</v>
      </c>
      <c r="G80">
        <v>2</v>
      </c>
      <c r="H80" s="4">
        <v>0</v>
      </c>
      <c r="I80">
        <v>14</v>
      </c>
      <c r="J80">
        <v>183</v>
      </c>
      <c r="K80">
        <v>0</v>
      </c>
      <c r="L80">
        <v>0</v>
      </c>
      <c r="M80">
        <v>0</v>
      </c>
      <c r="N80">
        <v>0</v>
      </c>
      <c r="O80" t="str">
        <f t="shared" si="4"/>
        <v>C</v>
      </c>
      <c r="P80" t="str">
        <f t="shared" si="5"/>
        <v>A</v>
      </c>
      <c r="Q80">
        <f>IF(M80=0,0,VLOOKUP(M80,'aa codes'!$A$1:'aa codes'!$B$21,2))</f>
        <v>0</v>
      </c>
      <c r="R80">
        <f>IF(N80=0,0,VLOOKUP(N80,'aa codes'!$A$1:'aa codes'!$B$21,2))</f>
        <v>0</v>
      </c>
      <c r="S80" s="1">
        <v>1.6632016600000001E-2</v>
      </c>
      <c r="T80" s="1">
        <v>1.8232819099999999E-2</v>
      </c>
    </row>
    <row r="81" spans="1:20">
      <c r="A81">
        <v>9</v>
      </c>
      <c r="B81">
        <v>135781936</v>
      </c>
      <c r="C81" t="str">
        <f t="shared" si="3"/>
        <v>9:135781936</v>
      </c>
      <c r="D81">
        <v>1</v>
      </c>
      <c r="E81" s="1">
        <v>9.9255583100000006E-3</v>
      </c>
      <c r="F81">
        <v>4</v>
      </c>
      <c r="G81">
        <v>2</v>
      </c>
      <c r="H81" s="4">
        <v>0</v>
      </c>
      <c r="I81">
        <v>14</v>
      </c>
      <c r="J81">
        <v>182</v>
      </c>
      <c r="K81">
        <v>0</v>
      </c>
      <c r="L81">
        <v>0</v>
      </c>
      <c r="M81">
        <v>0</v>
      </c>
      <c r="N81">
        <v>0</v>
      </c>
      <c r="O81" t="str">
        <f t="shared" si="4"/>
        <v>A</v>
      </c>
      <c r="P81" t="str">
        <f t="shared" si="5"/>
        <v>T</v>
      </c>
      <c r="Q81">
        <f>IF(M81=0,0,VLOOKUP(M81,'aa codes'!$A$1:'aa codes'!$B$21,2))</f>
        <v>0</v>
      </c>
      <c r="R81">
        <f>IF(N81=0,0,VLOOKUP(N81,'aa codes'!$A$1:'aa codes'!$B$21,2))</f>
        <v>0</v>
      </c>
      <c r="S81" s="1">
        <v>9.9255583100000006E-3</v>
      </c>
      <c r="T81" s="1">
        <v>9.6463022500000006E-3</v>
      </c>
    </row>
    <row r="82" spans="1:20">
      <c r="A82">
        <v>9</v>
      </c>
      <c r="B82">
        <v>135781937</v>
      </c>
      <c r="C82" t="str">
        <f t="shared" si="3"/>
        <v>9:135781937</v>
      </c>
      <c r="D82">
        <v>1</v>
      </c>
      <c r="E82" s="1">
        <v>2.2113022100000001E-2</v>
      </c>
      <c r="F82">
        <v>3</v>
      </c>
      <c r="G82">
        <v>2</v>
      </c>
      <c r="H82" s="4">
        <v>0</v>
      </c>
      <c r="I82">
        <v>14</v>
      </c>
      <c r="J82">
        <v>181</v>
      </c>
      <c r="K82">
        <v>0</v>
      </c>
      <c r="L82">
        <v>0</v>
      </c>
      <c r="M82">
        <v>0</v>
      </c>
      <c r="N82">
        <v>0</v>
      </c>
      <c r="O82" t="str">
        <f t="shared" si="4"/>
        <v>A</v>
      </c>
      <c r="P82" t="str">
        <f t="shared" si="5"/>
        <v>C</v>
      </c>
      <c r="Q82">
        <f>IF(M82=0,0,VLOOKUP(M82,'aa codes'!$A$1:'aa codes'!$B$21,2))</f>
        <v>0</v>
      </c>
      <c r="R82">
        <f>IF(N82=0,0,VLOOKUP(N82,'aa codes'!$A$1:'aa codes'!$B$21,2))</f>
        <v>0</v>
      </c>
      <c r="S82" s="1">
        <v>1.9157088100000001E-2</v>
      </c>
      <c r="T82" s="1">
        <v>2.2113022100000001E-2</v>
      </c>
    </row>
    <row r="83" spans="1:20">
      <c r="A83">
        <v>9</v>
      </c>
      <c r="B83">
        <v>135781938</v>
      </c>
      <c r="C83" t="str">
        <f t="shared" si="3"/>
        <v>9:135781938</v>
      </c>
      <c r="D83">
        <v>1</v>
      </c>
      <c r="E83" s="1">
        <v>6.7114093999999999E-3</v>
      </c>
      <c r="F83">
        <v>3</v>
      </c>
      <c r="G83">
        <v>1</v>
      </c>
      <c r="H83" s="4">
        <v>0</v>
      </c>
      <c r="I83">
        <v>14</v>
      </c>
      <c r="J83">
        <v>180</v>
      </c>
      <c r="K83">
        <v>0</v>
      </c>
      <c r="L83">
        <v>0</v>
      </c>
      <c r="M83">
        <v>0</v>
      </c>
      <c r="N83">
        <v>0</v>
      </c>
      <c r="O83" t="str">
        <f t="shared" si="4"/>
        <v>A</v>
      </c>
      <c r="P83" t="str">
        <f t="shared" si="5"/>
        <v>C</v>
      </c>
      <c r="Q83">
        <f>IF(M83=0,0,VLOOKUP(M83,'aa codes'!$A$1:'aa codes'!$B$21,2))</f>
        <v>0</v>
      </c>
      <c r="R83">
        <f>IF(N83=0,0,VLOOKUP(N83,'aa codes'!$A$1:'aa codes'!$B$21,2))</f>
        <v>0</v>
      </c>
      <c r="S83" s="1">
        <v>0</v>
      </c>
      <c r="T83" s="1">
        <v>6.7114093999999999E-3</v>
      </c>
    </row>
    <row r="84" spans="1:20">
      <c r="A84">
        <v>9</v>
      </c>
      <c r="B84">
        <v>135781955</v>
      </c>
      <c r="C84" t="str">
        <f t="shared" si="3"/>
        <v>9:135781955</v>
      </c>
      <c r="D84">
        <v>2</v>
      </c>
      <c r="E84" s="1">
        <v>2.3809523799999999E-2</v>
      </c>
      <c r="F84">
        <v>1</v>
      </c>
      <c r="G84">
        <v>2</v>
      </c>
      <c r="H84" s="4">
        <v>0</v>
      </c>
      <c r="I84">
        <v>14</v>
      </c>
      <c r="J84">
        <v>163</v>
      </c>
      <c r="K84">
        <v>0</v>
      </c>
      <c r="L84">
        <v>0</v>
      </c>
      <c r="M84">
        <v>0</v>
      </c>
      <c r="N84">
        <v>0</v>
      </c>
      <c r="O84" t="str">
        <f t="shared" si="4"/>
        <v>G</v>
      </c>
      <c r="P84" t="str">
        <f t="shared" si="5"/>
        <v>A</v>
      </c>
      <c r="Q84">
        <f>IF(M84=0,0,VLOOKUP(M84,'aa codes'!$A$1:'aa codes'!$B$21,2))</f>
        <v>0</v>
      </c>
      <c r="R84">
        <f>IF(N84=0,0,VLOOKUP(N84,'aa codes'!$A$1:'aa codes'!$B$21,2))</f>
        <v>0</v>
      </c>
      <c r="S84" s="1">
        <v>2.3809523799999999E-2</v>
      </c>
      <c r="T84" s="1">
        <v>1.0752688200000001E-2</v>
      </c>
    </row>
    <row r="85" spans="1:20">
      <c r="A85">
        <v>9</v>
      </c>
      <c r="B85">
        <v>135781956</v>
      </c>
      <c r="C85" t="str">
        <f t="shared" si="3"/>
        <v>9:135781956</v>
      </c>
      <c r="D85">
        <v>4</v>
      </c>
      <c r="E85" s="1">
        <v>2.1798365100000001E-2</v>
      </c>
      <c r="F85">
        <v>1</v>
      </c>
      <c r="G85">
        <v>2</v>
      </c>
      <c r="H85" s="4">
        <v>0</v>
      </c>
      <c r="I85">
        <v>14</v>
      </c>
      <c r="J85">
        <v>162</v>
      </c>
      <c r="K85">
        <v>0</v>
      </c>
      <c r="L85">
        <v>0</v>
      </c>
      <c r="M85">
        <v>0</v>
      </c>
      <c r="N85">
        <v>0</v>
      </c>
      <c r="O85" t="str">
        <f t="shared" si="4"/>
        <v>T</v>
      </c>
      <c r="P85" t="str">
        <f t="shared" si="5"/>
        <v>A</v>
      </c>
      <c r="Q85">
        <f>IF(M85=0,0,VLOOKUP(M85,'aa codes'!$A$1:'aa codes'!$B$21,2))</f>
        <v>0</v>
      </c>
      <c r="R85">
        <f>IF(N85=0,0,VLOOKUP(N85,'aa codes'!$A$1:'aa codes'!$B$21,2))</f>
        <v>0</v>
      </c>
      <c r="S85" s="1">
        <v>1.4760147600000001E-2</v>
      </c>
      <c r="T85" s="1">
        <v>2.1798365100000001E-2</v>
      </c>
    </row>
    <row r="86" spans="1:20">
      <c r="A86">
        <v>9</v>
      </c>
      <c r="B86">
        <v>135781961</v>
      </c>
      <c r="C86" t="str">
        <f t="shared" si="3"/>
        <v>9:135781961</v>
      </c>
      <c r="D86">
        <v>4</v>
      </c>
      <c r="E86" s="1">
        <v>1.4519056299999999E-2</v>
      </c>
      <c r="F86">
        <v>1</v>
      </c>
      <c r="G86">
        <v>2</v>
      </c>
      <c r="H86" s="4">
        <v>0</v>
      </c>
      <c r="I86">
        <v>14</v>
      </c>
      <c r="J86">
        <v>157</v>
      </c>
      <c r="K86">
        <v>0</v>
      </c>
      <c r="L86">
        <v>0</v>
      </c>
      <c r="M86">
        <v>0</v>
      </c>
      <c r="N86">
        <v>0</v>
      </c>
      <c r="O86" t="str">
        <f t="shared" si="4"/>
        <v>T</v>
      </c>
      <c r="P86" t="str">
        <f t="shared" si="5"/>
        <v>A</v>
      </c>
      <c r="Q86">
        <f>IF(M86=0,0,VLOOKUP(M86,'aa codes'!$A$1:'aa codes'!$B$21,2))</f>
        <v>0</v>
      </c>
      <c r="R86">
        <f>IF(N86=0,0,VLOOKUP(N86,'aa codes'!$A$1:'aa codes'!$B$21,2))</f>
        <v>0</v>
      </c>
      <c r="S86" s="1">
        <v>1.4519056299999999E-2</v>
      </c>
      <c r="T86" s="1">
        <v>6.0606060600000003E-3</v>
      </c>
    </row>
    <row r="87" spans="1:20">
      <c r="A87">
        <v>9</v>
      </c>
      <c r="B87">
        <v>135781973</v>
      </c>
      <c r="C87" t="str">
        <f t="shared" si="3"/>
        <v>9:135781973</v>
      </c>
      <c r="D87">
        <v>2</v>
      </c>
      <c r="E87" s="1">
        <v>8.8888888900000001E-3</v>
      </c>
      <c r="F87">
        <v>3</v>
      </c>
      <c r="G87">
        <v>2</v>
      </c>
      <c r="H87" s="4">
        <v>0</v>
      </c>
      <c r="I87">
        <v>14</v>
      </c>
      <c r="J87">
        <v>145</v>
      </c>
      <c r="K87">
        <v>0</v>
      </c>
      <c r="L87">
        <v>0</v>
      </c>
      <c r="M87">
        <v>0</v>
      </c>
      <c r="N87">
        <v>0</v>
      </c>
      <c r="O87" t="str">
        <f t="shared" si="4"/>
        <v>G</v>
      </c>
      <c r="P87" t="str">
        <f t="shared" si="5"/>
        <v>C</v>
      </c>
      <c r="Q87">
        <f>IF(M87=0,0,VLOOKUP(M87,'aa codes'!$A$1:'aa codes'!$B$21,2))</f>
        <v>0</v>
      </c>
      <c r="R87">
        <f>IF(N87=0,0,VLOOKUP(N87,'aa codes'!$A$1:'aa codes'!$B$21,2))</f>
        <v>0</v>
      </c>
      <c r="S87" s="1">
        <v>5.64174894E-3</v>
      </c>
      <c r="T87" s="1">
        <v>8.8888888900000001E-3</v>
      </c>
    </row>
    <row r="88" spans="1:20">
      <c r="A88">
        <v>9</v>
      </c>
      <c r="B88">
        <v>135781976</v>
      </c>
      <c r="C88" t="str">
        <f t="shared" si="3"/>
        <v>9:135781976</v>
      </c>
      <c r="D88">
        <v>4</v>
      </c>
      <c r="E88" s="1">
        <v>1.41643059E-2</v>
      </c>
      <c r="F88">
        <v>1</v>
      </c>
      <c r="G88">
        <v>2</v>
      </c>
      <c r="H88" s="4">
        <v>0</v>
      </c>
      <c r="I88">
        <v>14</v>
      </c>
      <c r="J88">
        <v>142</v>
      </c>
      <c r="K88">
        <v>0</v>
      </c>
      <c r="L88">
        <v>0</v>
      </c>
      <c r="M88">
        <v>0</v>
      </c>
      <c r="N88">
        <v>0</v>
      </c>
      <c r="O88" t="str">
        <f t="shared" si="4"/>
        <v>T</v>
      </c>
      <c r="P88" t="str">
        <f t="shared" si="5"/>
        <v>A</v>
      </c>
      <c r="Q88">
        <f>IF(M88=0,0,VLOOKUP(M88,'aa codes'!$A$1:'aa codes'!$B$21,2))</f>
        <v>0</v>
      </c>
      <c r="R88">
        <f>IF(N88=0,0,VLOOKUP(N88,'aa codes'!$A$1:'aa codes'!$B$21,2))</f>
        <v>0</v>
      </c>
      <c r="S88" s="1">
        <v>1.41643059E-2</v>
      </c>
      <c r="T88" s="1">
        <v>1.13636364E-2</v>
      </c>
    </row>
    <row r="89" spans="1:20">
      <c r="A89">
        <v>9</v>
      </c>
      <c r="B89">
        <v>135781985</v>
      </c>
      <c r="C89" t="str">
        <f t="shared" si="3"/>
        <v>9:135781985</v>
      </c>
      <c r="D89">
        <v>2</v>
      </c>
      <c r="E89" s="1">
        <v>7.7369439100000003E-3</v>
      </c>
      <c r="F89">
        <v>1</v>
      </c>
      <c r="G89">
        <v>2</v>
      </c>
      <c r="H89" s="4">
        <v>0</v>
      </c>
      <c r="I89">
        <v>14</v>
      </c>
      <c r="J89">
        <v>133</v>
      </c>
      <c r="K89">
        <v>0</v>
      </c>
      <c r="L89">
        <v>0</v>
      </c>
      <c r="M89">
        <v>0</v>
      </c>
      <c r="N89">
        <v>0</v>
      </c>
      <c r="O89" t="str">
        <f t="shared" si="4"/>
        <v>G</v>
      </c>
      <c r="P89" t="str">
        <f t="shared" si="5"/>
        <v>A</v>
      </c>
      <c r="Q89">
        <f>IF(M89=0,0,VLOOKUP(M89,'aa codes'!$A$1:'aa codes'!$B$21,2))</f>
        <v>0</v>
      </c>
      <c r="R89">
        <f>IF(N89=0,0,VLOOKUP(N89,'aa codes'!$A$1:'aa codes'!$B$21,2))</f>
        <v>0</v>
      </c>
      <c r="S89" s="1">
        <v>5.2770448499999999E-3</v>
      </c>
      <c r="T89" s="1">
        <v>7.7369439100000003E-3</v>
      </c>
    </row>
    <row r="90" spans="1:20">
      <c r="A90">
        <v>9</v>
      </c>
      <c r="B90">
        <v>135781988</v>
      </c>
      <c r="C90" t="str">
        <f t="shared" si="3"/>
        <v>9:135781988</v>
      </c>
      <c r="D90">
        <v>4</v>
      </c>
      <c r="E90" s="1">
        <v>9.6969697000000004E-3</v>
      </c>
      <c r="F90">
        <v>1</v>
      </c>
      <c r="G90">
        <v>2</v>
      </c>
      <c r="H90" s="4">
        <v>0</v>
      </c>
      <c r="I90">
        <v>14</v>
      </c>
      <c r="J90">
        <v>130</v>
      </c>
      <c r="K90">
        <v>0</v>
      </c>
      <c r="L90">
        <v>0</v>
      </c>
      <c r="M90">
        <v>0</v>
      </c>
      <c r="N90">
        <v>0</v>
      </c>
      <c r="O90" t="str">
        <f t="shared" si="4"/>
        <v>T</v>
      </c>
      <c r="P90" t="str">
        <f t="shared" si="5"/>
        <v>A</v>
      </c>
      <c r="Q90">
        <f>IF(M90=0,0,VLOOKUP(M90,'aa codes'!$A$1:'aa codes'!$B$21,2))</f>
        <v>0</v>
      </c>
      <c r="R90">
        <f>IF(N90=0,0,VLOOKUP(N90,'aa codes'!$A$1:'aa codes'!$B$21,2))</f>
        <v>0</v>
      </c>
      <c r="S90" s="1">
        <v>9.6969697000000004E-3</v>
      </c>
      <c r="T90" s="1">
        <v>8.8028168999999996E-3</v>
      </c>
    </row>
    <row r="91" spans="1:20">
      <c r="A91">
        <v>9</v>
      </c>
      <c r="B91">
        <v>135782858</v>
      </c>
      <c r="C91" t="str">
        <f t="shared" si="3"/>
        <v>9:135782858</v>
      </c>
      <c r="D91">
        <v>3</v>
      </c>
      <c r="E91" s="1">
        <v>7.2115384599999999E-3</v>
      </c>
      <c r="F91">
        <v>1</v>
      </c>
      <c r="G91">
        <v>1</v>
      </c>
      <c r="H91" s="4">
        <v>0</v>
      </c>
      <c r="I91">
        <v>13</v>
      </c>
      <c r="J91">
        <v>-101</v>
      </c>
      <c r="K91">
        <v>0</v>
      </c>
      <c r="L91">
        <v>0</v>
      </c>
      <c r="M91">
        <v>0</v>
      </c>
      <c r="N91">
        <v>0</v>
      </c>
      <c r="O91" t="str">
        <f t="shared" si="4"/>
        <v>C</v>
      </c>
      <c r="P91" t="str">
        <f t="shared" si="5"/>
        <v>A</v>
      </c>
      <c r="Q91">
        <f>IF(M91=0,0,VLOOKUP(M91,'aa codes'!$A$1:'aa codes'!$B$21,2))</f>
        <v>0</v>
      </c>
      <c r="R91">
        <f>IF(N91=0,0,VLOOKUP(N91,'aa codes'!$A$1:'aa codes'!$B$21,2))</f>
        <v>0</v>
      </c>
      <c r="S91" s="1">
        <v>0</v>
      </c>
      <c r="T91" s="1">
        <v>7.2115384599999999E-3</v>
      </c>
    </row>
    <row r="92" spans="1:20">
      <c r="A92">
        <v>9</v>
      </c>
      <c r="B92">
        <v>135782965</v>
      </c>
      <c r="C92" t="str">
        <f t="shared" si="3"/>
        <v>9:135782965</v>
      </c>
      <c r="D92">
        <v>3</v>
      </c>
      <c r="E92" s="1">
        <v>5.2356020900000003E-3</v>
      </c>
      <c r="F92">
        <v>1</v>
      </c>
      <c r="G92">
        <v>1</v>
      </c>
      <c r="H92" s="4">
        <v>0</v>
      </c>
      <c r="I92">
        <v>13</v>
      </c>
      <c r="J92">
        <v>-208</v>
      </c>
      <c r="K92">
        <v>0</v>
      </c>
      <c r="L92">
        <v>0</v>
      </c>
      <c r="M92">
        <v>0</v>
      </c>
      <c r="N92">
        <v>0</v>
      </c>
      <c r="O92" t="str">
        <f t="shared" si="4"/>
        <v>C</v>
      </c>
      <c r="P92" t="str">
        <f t="shared" si="5"/>
        <v>A</v>
      </c>
      <c r="Q92">
        <f>IF(M92=0,0,VLOOKUP(M92,'aa codes'!$A$1:'aa codes'!$B$21,2))</f>
        <v>0</v>
      </c>
      <c r="R92">
        <f>IF(N92=0,0,VLOOKUP(N92,'aa codes'!$A$1:'aa codes'!$B$21,2))</f>
        <v>0</v>
      </c>
      <c r="S92" s="1">
        <v>0</v>
      </c>
      <c r="T92" s="1">
        <v>5.2356020900000003E-3</v>
      </c>
    </row>
    <row r="93" spans="1:20">
      <c r="A93">
        <v>9</v>
      </c>
      <c r="B93">
        <v>135783000</v>
      </c>
      <c r="C93" t="str">
        <f t="shared" si="3"/>
        <v>9:135783000</v>
      </c>
      <c r="D93">
        <v>3</v>
      </c>
      <c r="E93" s="1">
        <v>7.1942446E-3</v>
      </c>
      <c r="F93">
        <v>1</v>
      </c>
      <c r="G93">
        <v>1</v>
      </c>
      <c r="H93" s="4">
        <v>0</v>
      </c>
      <c r="I93">
        <v>13</v>
      </c>
      <c r="J93">
        <v>-243</v>
      </c>
      <c r="K93">
        <v>0</v>
      </c>
      <c r="L93">
        <v>0</v>
      </c>
      <c r="M93">
        <v>0</v>
      </c>
      <c r="N93">
        <v>0</v>
      </c>
      <c r="O93" t="str">
        <f t="shared" si="4"/>
        <v>C</v>
      </c>
      <c r="P93" t="str">
        <f t="shared" si="5"/>
        <v>A</v>
      </c>
      <c r="Q93">
        <f>IF(M93=0,0,VLOOKUP(M93,'aa codes'!$A$1:'aa codes'!$B$21,2))</f>
        <v>0</v>
      </c>
      <c r="R93">
        <f>IF(N93=0,0,VLOOKUP(N93,'aa codes'!$A$1:'aa codes'!$B$21,2))</f>
        <v>0</v>
      </c>
      <c r="S93" s="1">
        <v>0</v>
      </c>
      <c r="T93" s="1">
        <v>7.1942446E-3</v>
      </c>
    </row>
    <row r="94" spans="1:20">
      <c r="A94">
        <v>9</v>
      </c>
      <c r="B94">
        <v>135783004</v>
      </c>
      <c r="C94" t="str">
        <f t="shared" si="3"/>
        <v>9:135783004</v>
      </c>
      <c r="D94">
        <v>2</v>
      </c>
      <c r="E94" s="1">
        <v>7.6335877900000002E-3</v>
      </c>
      <c r="F94">
        <v>4</v>
      </c>
      <c r="G94">
        <v>1</v>
      </c>
      <c r="H94" s="4">
        <v>0</v>
      </c>
      <c r="I94">
        <v>13</v>
      </c>
      <c r="J94">
        <v>-247</v>
      </c>
      <c r="K94">
        <v>0</v>
      </c>
      <c r="L94">
        <v>0</v>
      </c>
      <c r="M94">
        <v>0</v>
      </c>
      <c r="N94">
        <v>0</v>
      </c>
      <c r="O94" t="str">
        <f t="shared" si="4"/>
        <v>G</v>
      </c>
      <c r="P94" t="str">
        <f t="shared" si="5"/>
        <v>T</v>
      </c>
      <c r="Q94">
        <f>IF(M94=0,0,VLOOKUP(M94,'aa codes'!$A$1:'aa codes'!$B$21,2))</f>
        <v>0</v>
      </c>
      <c r="R94">
        <f>IF(N94=0,0,VLOOKUP(N94,'aa codes'!$A$1:'aa codes'!$B$21,2))</f>
        <v>0</v>
      </c>
      <c r="S94" s="1">
        <v>0</v>
      </c>
      <c r="T94" s="1">
        <v>7.6335877900000002E-3</v>
      </c>
    </row>
    <row r="95" spans="1:20">
      <c r="A95">
        <v>9</v>
      </c>
      <c r="B95">
        <v>135783027</v>
      </c>
      <c r="C95" t="str">
        <f t="shared" si="3"/>
        <v>9:135783027</v>
      </c>
      <c r="D95">
        <v>3</v>
      </c>
      <c r="E95" s="1">
        <v>5.4347826100000001E-3</v>
      </c>
      <c r="F95">
        <v>4</v>
      </c>
      <c r="G95">
        <v>1</v>
      </c>
      <c r="H95" s="4">
        <v>0</v>
      </c>
      <c r="I95">
        <v>13</v>
      </c>
      <c r="J95">
        <v>-270</v>
      </c>
      <c r="K95">
        <v>0</v>
      </c>
      <c r="L95">
        <v>0</v>
      </c>
      <c r="M95">
        <v>0</v>
      </c>
      <c r="N95">
        <v>0</v>
      </c>
      <c r="O95" t="str">
        <f t="shared" si="4"/>
        <v>C</v>
      </c>
      <c r="P95" t="str">
        <f t="shared" si="5"/>
        <v>T</v>
      </c>
      <c r="Q95">
        <f>IF(M95=0,0,VLOOKUP(M95,'aa codes'!$A$1:'aa codes'!$B$21,2))</f>
        <v>0</v>
      </c>
      <c r="R95">
        <f>IF(N95=0,0,VLOOKUP(N95,'aa codes'!$A$1:'aa codes'!$B$21,2))</f>
        <v>0</v>
      </c>
      <c r="S95" s="1">
        <v>5.4347826100000001E-3</v>
      </c>
      <c r="T95" s="1">
        <v>0</v>
      </c>
    </row>
    <row r="96" spans="1:20">
      <c r="A96">
        <v>9</v>
      </c>
      <c r="B96">
        <v>135783031</v>
      </c>
      <c r="C96" t="str">
        <f t="shared" si="3"/>
        <v>9:135783031</v>
      </c>
      <c r="D96">
        <v>3</v>
      </c>
      <c r="E96" s="1">
        <v>5.5248618799999998E-3</v>
      </c>
      <c r="F96">
        <v>1</v>
      </c>
      <c r="G96">
        <v>1</v>
      </c>
      <c r="H96" s="4">
        <v>0</v>
      </c>
      <c r="I96">
        <v>13</v>
      </c>
      <c r="J96">
        <v>-274</v>
      </c>
      <c r="K96">
        <v>0</v>
      </c>
      <c r="L96">
        <v>0</v>
      </c>
      <c r="M96">
        <v>0</v>
      </c>
      <c r="N96">
        <v>0</v>
      </c>
      <c r="O96" t="str">
        <f t="shared" si="4"/>
        <v>C</v>
      </c>
      <c r="P96" t="str">
        <f t="shared" si="5"/>
        <v>A</v>
      </c>
      <c r="Q96">
        <f>IF(M96=0,0,VLOOKUP(M96,'aa codes'!$A$1:'aa codes'!$B$21,2))</f>
        <v>0</v>
      </c>
      <c r="R96">
        <f>IF(N96=0,0,VLOOKUP(N96,'aa codes'!$A$1:'aa codes'!$B$21,2))</f>
        <v>0</v>
      </c>
      <c r="S96" s="1">
        <v>5.5248618799999998E-3</v>
      </c>
      <c r="T96" s="1">
        <v>0</v>
      </c>
    </row>
    <row r="97" spans="1:20">
      <c r="A97">
        <v>9</v>
      </c>
      <c r="B97">
        <v>135783033</v>
      </c>
      <c r="C97" t="str">
        <f t="shared" si="3"/>
        <v>9:135783033</v>
      </c>
      <c r="D97">
        <v>3</v>
      </c>
      <c r="E97" s="1">
        <v>5.6179775300000002E-3</v>
      </c>
      <c r="F97">
        <v>4</v>
      </c>
      <c r="G97">
        <v>1</v>
      </c>
      <c r="H97" s="4">
        <v>0</v>
      </c>
      <c r="I97">
        <v>13</v>
      </c>
      <c r="J97">
        <v>-276</v>
      </c>
      <c r="K97">
        <v>0</v>
      </c>
      <c r="L97">
        <v>0</v>
      </c>
      <c r="M97">
        <v>0</v>
      </c>
      <c r="N97">
        <v>0</v>
      </c>
      <c r="O97" t="str">
        <f t="shared" si="4"/>
        <v>C</v>
      </c>
      <c r="P97" t="str">
        <f t="shared" si="5"/>
        <v>T</v>
      </c>
      <c r="Q97">
        <f>IF(M97=0,0,VLOOKUP(M97,'aa codes'!$A$1:'aa codes'!$B$21,2))</f>
        <v>0</v>
      </c>
      <c r="R97">
        <f>IF(N97=0,0,VLOOKUP(N97,'aa codes'!$A$1:'aa codes'!$B$21,2))</f>
        <v>0</v>
      </c>
      <c r="S97" s="1">
        <v>5.6179775300000002E-3</v>
      </c>
      <c r="T97" s="1">
        <v>0</v>
      </c>
    </row>
    <row r="98" spans="1:20">
      <c r="A98">
        <v>9</v>
      </c>
      <c r="B98">
        <v>135783037</v>
      </c>
      <c r="C98" t="str">
        <f t="shared" si="3"/>
        <v>9:135783037</v>
      </c>
      <c r="D98">
        <v>4</v>
      </c>
      <c r="E98" s="1">
        <v>5.98802395E-3</v>
      </c>
      <c r="F98">
        <v>3</v>
      </c>
      <c r="G98">
        <v>1</v>
      </c>
      <c r="H98" s="4">
        <v>0</v>
      </c>
      <c r="I98">
        <v>13</v>
      </c>
      <c r="J98">
        <v>-280</v>
      </c>
      <c r="K98">
        <v>0</v>
      </c>
      <c r="L98">
        <v>0</v>
      </c>
      <c r="M98">
        <v>0</v>
      </c>
      <c r="N98">
        <v>0</v>
      </c>
      <c r="O98" t="str">
        <f t="shared" si="4"/>
        <v>T</v>
      </c>
      <c r="P98" t="str">
        <f t="shared" si="5"/>
        <v>C</v>
      </c>
      <c r="Q98">
        <f>IF(M98=0,0,VLOOKUP(M98,'aa codes'!$A$1:'aa codes'!$B$21,2))</f>
        <v>0</v>
      </c>
      <c r="R98">
        <f>IF(N98=0,0,VLOOKUP(N98,'aa codes'!$A$1:'aa codes'!$B$21,2))</f>
        <v>0</v>
      </c>
      <c r="S98" s="1">
        <v>5.98802395E-3</v>
      </c>
      <c r="T98" s="1">
        <v>0</v>
      </c>
    </row>
    <row r="99" spans="1:20">
      <c r="A99">
        <v>9</v>
      </c>
      <c r="B99">
        <v>135783041</v>
      </c>
      <c r="C99" t="str">
        <f t="shared" si="3"/>
        <v>9:135783041</v>
      </c>
      <c r="D99">
        <v>4</v>
      </c>
      <c r="E99" s="1">
        <v>9.8039215700000005E-3</v>
      </c>
      <c r="F99">
        <v>3</v>
      </c>
      <c r="G99">
        <v>1</v>
      </c>
      <c r="H99" s="4">
        <v>0</v>
      </c>
      <c r="I99">
        <v>13</v>
      </c>
      <c r="J99">
        <v>-284</v>
      </c>
      <c r="K99">
        <v>0</v>
      </c>
      <c r="L99">
        <v>0</v>
      </c>
      <c r="M99">
        <v>0</v>
      </c>
      <c r="N99">
        <v>0</v>
      </c>
      <c r="O99" t="str">
        <f t="shared" si="4"/>
        <v>T</v>
      </c>
      <c r="P99" t="str">
        <f t="shared" si="5"/>
        <v>C</v>
      </c>
      <c r="Q99">
        <f>IF(M99=0,0,VLOOKUP(M99,'aa codes'!$A$1:'aa codes'!$B$21,2))</f>
        <v>0</v>
      </c>
      <c r="R99">
        <f>IF(N99=0,0,VLOOKUP(N99,'aa codes'!$A$1:'aa codes'!$B$21,2))</f>
        <v>0</v>
      </c>
      <c r="S99" s="1">
        <v>0</v>
      </c>
      <c r="T99" s="1">
        <v>9.8039215700000005E-3</v>
      </c>
    </row>
    <row r="100" spans="1:20">
      <c r="A100">
        <v>9</v>
      </c>
      <c r="B100">
        <v>135783057</v>
      </c>
      <c r="C100" t="str">
        <f t="shared" si="3"/>
        <v>9:135783057</v>
      </c>
      <c r="D100">
        <v>1</v>
      </c>
      <c r="E100" s="1">
        <v>7.4626865699999999E-3</v>
      </c>
      <c r="F100">
        <v>4</v>
      </c>
      <c r="G100">
        <v>1</v>
      </c>
      <c r="H100" s="4">
        <v>0</v>
      </c>
      <c r="I100">
        <v>13</v>
      </c>
      <c r="J100">
        <v>-300</v>
      </c>
      <c r="K100">
        <v>0</v>
      </c>
      <c r="L100">
        <v>0</v>
      </c>
      <c r="M100">
        <v>0</v>
      </c>
      <c r="N100">
        <v>0</v>
      </c>
      <c r="O100" t="str">
        <f t="shared" si="4"/>
        <v>A</v>
      </c>
      <c r="P100" t="str">
        <f t="shared" si="5"/>
        <v>T</v>
      </c>
      <c r="Q100">
        <f>IF(M100=0,0,VLOOKUP(M100,'aa codes'!$A$1:'aa codes'!$B$21,2))</f>
        <v>0</v>
      </c>
      <c r="R100">
        <f>IF(N100=0,0,VLOOKUP(N100,'aa codes'!$A$1:'aa codes'!$B$21,2))</f>
        <v>0</v>
      </c>
      <c r="S100" s="1">
        <v>7.4626865699999999E-3</v>
      </c>
      <c r="T100" s="1">
        <v>0</v>
      </c>
    </row>
    <row r="101" spans="1:20">
      <c r="A101">
        <v>9</v>
      </c>
      <c r="B101">
        <v>135783061</v>
      </c>
      <c r="C101" t="str">
        <f t="shared" si="3"/>
        <v>9:135783061</v>
      </c>
      <c r="D101">
        <v>3</v>
      </c>
      <c r="E101" s="1">
        <v>7.3529411800000001E-3</v>
      </c>
      <c r="F101">
        <v>2</v>
      </c>
      <c r="G101">
        <v>1</v>
      </c>
      <c r="H101" s="4">
        <v>0</v>
      </c>
      <c r="I101">
        <v>13</v>
      </c>
      <c r="J101">
        <v>-304</v>
      </c>
      <c r="K101">
        <v>0</v>
      </c>
      <c r="L101">
        <v>0</v>
      </c>
      <c r="M101">
        <v>0</v>
      </c>
      <c r="N101">
        <v>0</v>
      </c>
      <c r="O101" t="str">
        <f t="shared" si="4"/>
        <v>C</v>
      </c>
      <c r="P101" t="str">
        <f t="shared" si="5"/>
        <v>G</v>
      </c>
      <c r="Q101">
        <f>IF(M101=0,0,VLOOKUP(M101,'aa codes'!$A$1:'aa codes'!$B$21,2))</f>
        <v>0</v>
      </c>
      <c r="R101">
        <f>IF(N101=0,0,VLOOKUP(N101,'aa codes'!$A$1:'aa codes'!$B$21,2))</f>
        <v>0</v>
      </c>
      <c r="S101" s="1">
        <v>7.3529411800000001E-3</v>
      </c>
      <c r="T101" s="1">
        <v>0</v>
      </c>
    </row>
    <row r="102" spans="1:20">
      <c r="A102">
        <v>9</v>
      </c>
      <c r="B102">
        <v>135783065</v>
      </c>
      <c r="C102" t="str">
        <f t="shared" si="3"/>
        <v>9:135783065</v>
      </c>
      <c r="D102">
        <v>3</v>
      </c>
      <c r="E102" s="1">
        <v>8.4033613400000002E-3</v>
      </c>
      <c r="F102">
        <v>1</v>
      </c>
      <c r="G102">
        <v>2</v>
      </c>
      <c r="H102" s="4">
        <v>0</v>
      </c>
      <c r="I102">
        <v>13</v>
      </c>
      <c r="J102">
        <v>-308</v>
      </c>
      <c r="K102">
        <v>0</v>
      </c>
      <c r="L102">
        <v>0</v>
      </c>
      <c r="M102">
        <v>0</v>
      </c>
      <c r="N102">
        <v>0</v>
      </c>
      <c r="O102" t="str">
        <f t="shared" si="4"/>
        <v>C</v>
      </c>
      <c r="P102" t="str">
        <f t="shared" si="5"/>
        <v>A</v>
      </c>
      <c r="Q102">
        <f>IF(M102=0,0,VLOOKUP(M102,'aa codes'!$A$1:'aa codes'!$B$21,2))</f>
        <v>0</v>
      </c>
      <c r="R102">
        <f>IF(N102=0,0,VLOOKUP(N102,'aa codes'!$A$1:'aa codes'!$B$21,2))</f>
        <v>0</v>
      </c>
      <c r="S102" s="1">
        <v>6.8493150699999996E-3</v>
      </c>
      <c r="T102" s="1">
        <v>8.4033613400000002E-3</v>
      </c>
    </row>
    <row r="103" spans="1:20">
      <c r="A103">
        <v>9</v>
      </c>
      <c r="B103">
        <v>135783072</v>
      </c>
      <c r="C103" t="str">
        <f t="shared" si="3"/>
        <v>9:135783072</v>
      </c>
      <c r="D103">
        <v>4</v>
      </c>
      <c r="E103" s="1">
        <v>6.8965517199999996E-3</v>
      </c>
      <c r="F103">
        <v>3</v>
      </c>
      <c r="G103">
        <v>1</v>
      </c>
      <c r="H103" s="4">
        <v>0</v>
      </c>
      <c r="I103">
        <v>13</v>
      </c>
      <c r="J103">
        <v>-315</v>
      </c>
      <c r="K103">
        <v>0</v>
      </c>
      <c r="L103">
        <v>0</v>
      </c>
      <c r="M103">
        <v>0</v>
      </c>
      <c r="N103">
        <v>0</v>
      </c>
      <c r="O103" t="str">
        <f t="shared" si="4"/>
        <v>T</v>
      </c>
      <c r="P103" t="str">
        <f t="shared" si="5"/>
        <v>C</v>
      </c>
      <c r="Q103">
        <f>IF(M103=0,0,VLOOKUP(M103,'aa codes'!$A$1:'aa codes'!$B$21,2))</f>
        <v>0</v>
      </c>
      <c r="R103">
        <f>IF(N103=0,0,VLOOKUP(N103,'aa codes'!$A$1:'aa codes'!$B$21,2))</f>
        <v>0</v>
      </c>
      <c r="S103" s="1">
        <v>6.8965517199999996E-3</v>
      </c>
      <c r="T103" s="1">
        <v>0</v>
      </c>
    </row>
    <row r="104" spans="1:20">
      <c r="A104">
        <v>9</v>
      </c>
      <c r="B104">
        <v>135783074</v>
      </c>
      <c r="C104" t="str">
        <f t="shared" si="3"/>
        <v>9:135783074</v>
      </c>
      <c r="D104">
        <v>4</v>
      </c>
      <c r="E104" s="1">
        <v>6.6666666699999998E-3</v>
      </c>
      <c r="F104">
        <v>1</v>
      </c>
      <c r="G104">
        <v>1</v>
      </c>
      <c r="H104" s="4">
        <v>0</v>
      </c>
      <c r="I104">
        <v>13</v>
      </c>
      <c r="J104">
        <v>-317</v>
      </c>
      <c r="K104">
        <v>0</v>
      </c>
      <c r="L104">
        <v>0</v>
      </c>
      <c r="M104">
        <v>0</v>
      </c>
      <c r="N104">
        <v>0</v>
      </c>
      <c r="O104" t="str">
        <f t="shared" si="4"/>
        <v>T</v>
      </c>
      <c r="P104" t="str">
        <f t="shared" si="5"/>
        <v>A</v>
      </c>
      <c r="Q104">
        <f>IF(M104=0,0,VLOOKUP(M104,'aa codes'!$A$1:'aa codes'!$B$21,2))</f>
        <v>0</v>
      </c>
      <c r="R104">
        <f>IF(N104=0,0,VLOOKUP(N104,'aa codes'!$A$1:'aa codes'!$B$21,2))</f>
        <v>0</v>
      </c>
      <c r="S104" s="1">
        <v>6.6666666699999998E-3</v>
      </c>
      <c r="T104" s="1">
        <v>0</v>
      </c>
    </row>
    <row r="105" spans="1:20">
      <c r="A105">
        <v>9</v>
      </c>
      <c r="B105">
        <v>135783078</v>
      </c>
      <c r="C105" t="str">
        <f t="shared" si="3"/>
        <v>9:135783078</v>
      </c>
      <c r="D105">
        <v>3</v>
      </c>
      <c r="E105" s="1">
        <v>6.3694267499999997E-3</v>
      </c>
      <c r="F105">
        <v>4</v>
      </c>
      <c r="G105">
        <v>1</v>
      </c>
      <c r="H105" s="4">
        <v>0</v>
      </c>
      <c r="I105">
        <v>13</v>
      </c>
      <c r="J105">
        <v>-321</v>
      </c>
      <c r="K105">
        <v>0</v>
      </c>
      <c r="L105">
        <v>0</v>
      </c>
      <c r="M105">
        <v>0</v>
      </c>
      <c r="N105">
        <v>0</v>
      </c>
      <c r="O105" t="str">
        <f t="shared" si="4"/>
        <v>C</v>
      </c>
      <c r="P105" t="str">
        <f t="shared" si="5"/>
        <v>T</v>
      </c>
      <c r="Q105">
        <f>IF(M105=0,0,VLOOKUP(M105,'aa codes'!$A$1:'aa codes'!$B$21,2))</f>
        <v>0</v>
      </c>
      <c r="R105">
        <f>IF(N105=0,0,VLOOKUP(N105,'aa codes'!$A$1:'aa codes'!$B$21,2))</f>
        <v>0</v>
      </c>
      <c r="S105" s="1">
        <v>6.3694267499999997E-3</v>
      </c>
      <c r="T105" s="1">
        <v>0</v>
      </c>
    </row>
    <row r="106" spans="1:20">
      <c r="A106">
        <v>9</v>
      </c>
      <c r="B106">
        <v>135783079</v>
      </c>
      <c r="C106" t="str">
        <f t="shared" si="3"/>
        <v>9:135783079</v>
      </c>
      <c r="D106">
        <v>1</v>
      </c>
      <c r="E106" s="1">
        <v>6.4516128999999997E-3</v>
      </c>
      <c r="F106">
        <v>2</v>
      </c>
      <c r="G106">
        <v>1</v>
      </c>
      <c r="H106" s="4">
        <v>0</v>
      </c>
      <c r="I106">
        <v>13</v>
      </c>
      <c r="J106">
        <v>-322</v>
      </c>
      <c r="K106">
        <v>0</v>
      </c>
      <c r="L106">
        <v>0</v>
      </c>
      <c r="M106">
        <v>0</v>
      </c>
      <c r="N106">
        <v>0</v>
      </c>
      <c r="O106" t="str">
        <f t="shared" si="4"/>
        <v>A</v>
      </c>
      <c r="P106" t="str">
        <f t="shared" si="5"/>
        <v>G</v>
      </c>
      <c r="Q106">
        <f>IF(M106=0,0,VLOOKUP(M106,'aa codes'!$A$1:'aa codes'!$B$21,2))</f>
        <v>0</v>
      </c>
      <c r="R106">
        <f>IF(N106=0,0,VLOOKUP(N106,'aa codes'!$A$1:'aa codes'!$B$21,2))</f>
        <v>0</v>
      </c>
      <c r="S106" s="1">
        <v>6.4516128999999997E-3</v>
      </c>
      <c r="T106" s="1">
        <v>0</v>
      </c>
    </row>
    <row r="107" spans="1:20">
      <c r="A107">
        <v>9</v>
      </c>
      <c r="B107">
        <v>135783100</v>
      </c>
      <c r="C107" t="str">
        <f t="shared" si="3"/>
        <v>9:135783100</v>
      </c>
      <c r="D107">
        <v>3</v>
      </c>
      <c r="E107" s="1">
        <v>5.8479532200000003E-3</v>
      </c>
      <c r="F107">
        <v>1</v>
      </c>
      <c r="G107">
        <v>1</v>
      </c>
      <c r="H107" s="4">
        <v>0</v>
      </c>
      <c r="I107">
        <v>13</v>
      </c>
      <c r="J107">
        <v>-343</v>
      </c>
      <c r="K107">
        <v>0</v>
      </c>
      <c r="L107">
        <v>0</v>
      </c>
      <c r="M107">
        <v>0</v>
      </c>
      <c r="N107">
        <v>0</v>
      </c>
      <c r="O107" t="str">
        <f t="shared" si="4"/>
        <v>C</v>
      </c>
      <c r="P107" t="str">
        <f t="shared" si="5"/>
        <v>A</v>
      </c>
      <c r="Q107">
        <f>IF(M107=0,0,VLOOKUP(M107,'aa codes'!$A$1:'aa codes'!$B$21,2))</f>
        <v>0</v>
      </c>
      <c r="R107">
        <f>IF(N107=0,0,VLOOKUP(N107,'aa codes'!$A$1:'aa codes'!$B$21,2))</f>
        <v>0</v>
      </c>
      <c r="S107" s="1">
        <v>5.8479532200000003E-3</v>
      </c>
      <c r="T107" s="1">
        <v>0</v>
      </c>
    </row>
    <row r="108" spans="1:20">
      <c r="A108">
        <v>9</v>
      </c>
      <c r="B108">
        <v>135783103</v>
      </c>
      <c r="C108" t="str">
        <f t="shared" si="3"/>
        <v>9:135783103</v>
      </c>
      <c r="D108">
        <v>3</v>
      </c>
      <c r="E108" s="1">
        <v>7.1428571400000002E-3</v>
      </c>
      <c r="F108">
        <v>4</v>
      </c>
      <c r="G108">
        <v>2</v>
      </c>
      <c r="H108" s="4">
        <v>0</v>
      </c>
      <c r="I108">
        <v>13</v>
      </c>
      <c r="J108">
        <v>-346</v>
      </c>
      <c r="K108">
        <v>0</v>
      </c>
      <c r="L108">
        <v>0</v>
      </c>
      <c r="M108">
        <v>0</v>
      </c>
      <c r="N108">
        <v>0</v>
      </c>
      <c r="O108" t="str">
        <f t="shared" si="4"/>
        <v>C</v>
      </c>
      <c r="P108" t="str">
        <f t="shared" si="5"/>
        <v>T</v>
      </c>
      <c r="Q108">
        <f>IF(M108=0,0,VLOOKUP(M108,'aa codes'!$A$1:'aa codes'!$B$21,2))</f>
        <v>0</v>
      </c>
      <c r="R108">
        <f>IF(N108=0,0,VLOOKUP(N108,'aa codes'!$A$1:'aa codes'!$B$21,2))</f>
        <v>0</v>
      </c>
      <c r="S108" s="1">
        <v>5.6179775300000002E-3</v>
      </c>
      <c r="T108" s="1">
        <v>7.1428571400000002E-3</v>
      </c>
    </row>
    <row r="109" spans="1:20">
      <c r="A109">
        <v>9</v>
      </c>
      <c r="B109">
        <v>135783104</v>
      </c>
      <c r="C109" t="str">
        <f t="shared" si="3"/>
        <v>9:135783104</v>
      </c>
      <c r="D109">
        <v>3</v>
      </c>
      <c r="E109" s="1">
        <v>5.6179775300000002E-3</v>
      </c>
      <c r="F109">
        <v>4</v>
      </c>
      <c r="G109">
        <v>1</v>
      </c>
      <c r="H109" s="4">
        <v>0</v>
      </c>
      <c r="I109">
        <v>13</v>
      </c>
      <c r="J109">
        <v>-347</v>
      </c>
      <c r="K109">
        <v>0</v>
      </c>
      <c r="L109">
        <v>0</v>
      </c>
      <c r="M109">
        <v>0</v>
      </c>
      <c r="N109">
        <v>0</v>
      </c>
      <c r="O109" t="str">
        <f t="shared" si="4"/>
        <v>C</v>
      </c>
      <c r="P109" t="str">
        <f t="shared" si="5"/>
        <v>T</v>
      </c>
      <c r="Q109">
        <f>IF(M109=0,0,VLOOKUP(M109,'aa codes'!$A$1:'aa codes'!$B$21,2))</f>
        <v>0</v>
      </c>
      <c r="R109">
        <f>IF(N109=0,0,VLOOKUP(N109,'aa codes'!$A$1:'aa codes'!$B$21,2))</f>
        <v>0</v>
      </c>
      <c r="S109" s="1">
        <v>5.6179775300000002E-3</v>
      </c>
      <c r="T109" s="1">
        <v>0</v>
      </c>
    </row>
    <row r="110" spans="1:20">
      <c r="A110">
        <v>9</v>
      </c>
      <c r="B110">
        <v>135783105</v>
      </c>
      <c r="C110" t="str">
        <f t="shared" si="3"/>
        <v>9:135783105</v>
      </c>
      <c r="D110">
        <v>1</v>
      </c>
      <c r="E110" s="1">
        <v>5.5865921799999997E-3</v>
      </c>
      <c r="F110">
        <v>2</v>
      </c>
      <c r="G110">
        <v>1</v>
      </c>
      <c r="H110" s="4">
        <v>0</v>
      </c>
      <c r="I110">
        <v>13</v>
      </c>
      <c r="J110">
        <v>-348</v>
      </c>
      <c r="K110">
        <v>0</v>
      </c>
      <c r="L110">
        <v>0</v>
      </c>
      <c r="M110">
        <v>0</v>
      </c>
      <c r="N110">
        <v>0</v>
      </c>
      <c r="O110" t="str">
        <f t="shared" si="4"/>
        <v>A</v>
      </c>
      <c r="P110" t="str">
        <f t="shared" si="5"/>
        <v>G</v>
      </c>
      <c r="Q110">
        <f>IF(M110=0,0,VLOOKUP(M110,'aa codes'!$A$1:'aa codes'!$B$21,2))</f>
        <v>0</v>
      </c>
      <c r="R110">
        <f>IF(N110=0,0,VLOOKUP(N110,'aa codes'!$A$1:'aa codes'!$B$21,2))</f>
        <v>0</v>
      </c>
      <c r="S110" s="1">
        <v>5.5865921799999997E-3</v>
      </c>
      <c r="T110" s="1">
        <v>0</v>
      </c>
    </row>
    <row r="111" spans="1:20">
      <c r="A111">
        <v>9</v>
      </c>
      <c r="B111">
        <v>135783115</v>
      </c>
      <c r="C111" t="str">
        <f t="shared" si="3"/>
        <v>9:135783115</v>
      </c>
      <c r="D111">
        <v>2</v>
      </c>
      <c r="E111" s="1">
        <v>5.3475935799999997E-3</v>
      </c>
      <c r="F111">
        <v>4</v>
      </c>
      <c r="G111">
        <v>1</v>
      </c>
      <c r="H111" s="4">
        <v>0</v>
      </c>
      <c r="I111">
        <v>13</v>
      </c>
      <c r="J111">
        <v>-358</v>
      </c>
      <c r="K111">
        <v>0</v>
      </c>
      <c r="L111">
        <v>0</v>
      </c>
      <c r="M111">
        <v>0</v>
      </c>
      <c r="N111">
        <v>0</v>
      </c>
      <c r="O111" t="str">
        <f t="shared" si="4"/>
        <v>G</v>
      </c>
      <c r="P111" t="str">
        <f t="shared" si="5"/>
        <v>T</v>
      </c>
      <c r="Q111">
        <f>IF(M111=0,0,VLOOKUP(M111,'aa codes'!$A$1:'aa codes'!$B$21,2))</f>
        <v>0</v>
      </c>
      <c r="R111">
        <f>IF(N111=0,0,VLOOKUP(N111,'aa codes'!$A$1:'aa codes'!$B$21,2))</f>
        <v>0</v>
      </c>
      <c r="S111" s="1">
        <v>5.3475935799999997E-3</v>
      </c>
      <c r="T111" s="1">
        <v>0</v>
      </c>
    </row>
    <row r="112" spans="1:20">
      <c r="A112">
        <v>9</v>
      </c>
      <c r="B112">
        <v>135783118</v>
      </c>
      <c r="C112" t="str">
        <f t="shared" si="3"/>
        <v>9:135783118</v>
      </c>
      <c r="D112">
        <v>3</v>
      </c>
      <c r="E112" s="1">
        <v>5.2083333300000003E-3</v>
      </c>
      <c r="F112">
        <v>2</v>
      </c>
      <c r="G112">
        <v>1</v>
      </c>
      <c r="H112" s="4">
        <v>0</v>
      </c>
      <c r="I112">
        <v>13</v>
      </c>
      <c r="J112">
        <v>-361</v>
      </c>
      <c r="K112">
        <v>0</v>
      </c>
      <c r="L112">
        <v>0</v>
      </c>
      <c r="M112">
        <v>0</v>
      </c>
      <c r="N112">
        <v>0</v>
      </c>
      <c r="O112" t="str">
        <f t="shared" si="4"/>
        <v>C</v>
      </c>
      <c r="P112" t="str">
        <f t="shared" si="5"/>
        <v>G</v>
      </c>
      <c r="Q112">
        <f>IF(M112=0,0,VLOOKUP(M112,'aa codes'!$A$1:'aa codes'!$B$21,2))</f>
        <v>0</v>
      </c>
      <c r="R112">
        <f>IF(N112=0,0,VLOOKUP(N112,'aa codes'!$A$1:'aa codes'!$B$21,2))</f>
        <v>0</v>
      </c>
      <c r="S112" s="1">
        <v>5.2083333300000003E-3</v>
      </c>
      <c r="T112" s="1">
        <v>0</v>
      </c>
    </row>
    <row r="113" spans="1:20">
      <c r="A113">
        <v>9</v>
      </c>
      <c r="B113">
        <v>135783129</v>
      </c>
      <c r="C113" t="str">
        <f t="shared" si="3"/>
        <v>9:135783129</v>
      </c>
      <c r="D113">
        <v>2</v>
      </c>
      <c r="E113" s="1">
        <v>6.4102564099999997E-3</v>
      </c>
      <c r="F113">
        <v>1</v>
      </c>
      <c r="G113">
        <v>1</v>
      </c>
      <c r="H113" s="4">
        <v>3.2400000000000001E-5</v>
      </c>
      <c r="I113">
        <v>13</v>
      </c>
      <c r="J113">
        <v>-372</v>
      </c>
      <c r="K113">
        <v>0</v>
      </c>
      <c r="L113">
        <v>0</v>
      </c>
      <c r="M113">
        <v>0</v>
      </c>
      <c r="N113">
        <v>0</v>
      </c>
      <c r="O113" t="str">
        <f t="shared" si="4"/>
        <v>G</v>
      </c>
      <c r="P113" t="str">
        <f t="shared" si="5"/>
        <v>A</v>
      </c>
      <c r="Q113">
        <f>IF(M113=0,0,VLOOKUP(M113,'aa codes'!$A$1:'aa codes'!$B$21,2))</f>
        <v>0</v>
      </c>
      <c r="R113">
        <f>IF(N113=0,0,VLOOKUP(N113,'aa codes'!$A$1:'aa codes'!$B$21,2))</f>
        <v>0</v>
      </c>
      <c r="S113" s="1">
        <v>4.6728971999999997E-3</v>
      </c>
      <c r="T113" s="1">
        <v>6.4102564099999997E-3</v>
      </c>
    </row>
    <row r="114" spans="1:20">
      <c r="A114">
        <v>9</v>
      </c>
      <c r="B114">
        <v>135783143</v>
      </c>
      <c r="C114" t="str">
        <f t="shared" si="3"/>
        <v>9:135783143</v>
      </c>
      <c r="D114">
        <v>3</v>
      </c>
      <c r="E114" s="1">
        <v>6.0606060600000003E-3</v>
      </c>
      <c r="F114">
        <v>4</v>
      </c>
      <c r="G114">
        <v>1</v>
      </c>
      <c r="H114" s="4">
        <v>0</v>
      </c>
      <c r="I114">
        <v>13</v>
      </c>
      <c r="J114">
        <v>-386</v>
      </c>
      <c r="K114">
        <v>0</v>
      </c>
      <c r="L114">
        <v>0</v>
      </c>
      <c r="M114">
        <v>0</v>
      </c>
      <c r="N114">
        <v>0</v>
      </c>
      <c r="O114" t="str">
        <f t="shared" si="4"/>
        <v>C</v>
      </c>
      <c r="P114" t="str">
        <f t="shared" si="5"/>
        <v>T</v>
      </c>
      <c r="Q114">
        <f>IF(M114=0,0,VLOOKUP(M114,'aa codes'!$A$1:'aa codes'!$B$21,2))</f>
        <v>0</v>
      </c>
      <c r="R114">
        <f>IF(N114=0,0,VLOOKUP(N114,'aa codes'!$A$1:'aa codes'!$B$21,2))</f>
        <v>0</v>
      </c>
      <c r="S114" s="1">
        <v>0</v>
      </c>
      <c r="T114" s="1">
        <v>6.0606060600000003E-3</v>
      </c>
    </row>
    <row r="115" spans="1:20">
      <c r="A115">
        <v>9</v>
      </c>
      <c r="B115">
        <v>135783172</v>
      </c>
      <c r="C115" t="str">
        <f t="shared" si="3"/>
        <v>9:135783172</v>
      </c>
      <c r="D115">
        <v>1</v>
      </c>
      <c r="E115" s="1">
        <v>5.5555555599999997E-3</v>
      </c>
      <c r="F115">
        <v>2</v>
      </c>
      <c r="G115">
        <v>1</v>
      </c>
      <c r="H115" s="4">
        <v>0</v>
      </c>
      <c r="I115">
        <v>13</v>
      </c>
      <c r="J115">
        <v>-415</v>
      </c>
      <c r="K115">
        <v>0</v>
      </c>
      <c r="L115">
        <v>0</v>
      </c>
      <c r="M115">
        <v>0</v>
      </c>
      <c r="N115">
        <v>0</v>
      </c>
      <c r="O115" t="str">
        <f t="shared" si="4"/>
        <v>A</v>
      </c>
      <c r="P115" t="str">
        <f t="shared" si="5"/>
        <v>G</v>
      </c>
      <c r="Q115">
        <f>IF(M115=0,0,VLOOKUP(M115,'aa codes'!$A$1:'aa codes'!$B$21,2))</f>
        <v>0</v>
      </c>
      <c r="R115">
        <f>IF(N115=0,0,VLOOKUP(N115,'aa codes'!$A$1:'aa codes'!$B$21,2))</f>
        <v>0</v>
      </c>
      <c r="S115" s="1">
        <v>0</v>
      </c>
      <c r="T115" s="1">
        <v>5.5555555599999997E-3</v>
      </c>
    </row>
    <row r="116" spans="1:20">
      <c r="A116">
        <v>9</v>
      </c>
      <c r="B116">
        <v>135783293</v>
      </c>
      <c r="C116" t="str">
        <f t="shared" si="3"/>
        <v>9:135783293</v>
      </c>
      <c r="D116">
        <v>2</v>
      </c>
      <c r="E116" s="1">
        <v>5.7471264399999999E-3</v>
      </c>
      <c r="F116">
        <v>1</v>
      </c>
      <c r="G116">
        <v>1</v>
      </c>
      <c r="H116" s="4">
        <v>0</v>
      </c>
      <c r="I116">
        <v>13</v>
      </c>
      <c r="J116">
        <v>-536</v>
      </c>
      <c r="K116">
        <v>0</v>
      </c>
      <c r="L116">
        <v>0</v>
      </c>
      <c r="M116">
        <v>0</v>
      </c>
      <c r="N116">
        <v>0</v>
      </c>
      <c r="O116" t="str">
        <f t="shared" si="4"/>
        <v>G</v>
      </c>
      <c r="P116" t="str">
        <f t="shared" si="5"/>
        <v>A</v>
      </c>
      <c r="Q116">
        <f>IF(M116=0,0,VLOOKUP(M116,'aa codes'!$A$1:'aa codes'!$B$21,2))</f>
        <v>0</v>
      </c>
      <c r="R116">
        <f>IF(N116=0,0,VLOOKUP(N116,'aa codes'!$A$1:'aa codes'!$B$21,2))</f>
        <v>0</v>
      </c>
      <c r="S116" s="1">
        <v>2.4271844700000001E-3</v>
      </c>
      <c r="T116" s="1">
        <v>5.7471264399999999E-3</v>
      </c>
    </row>
    <row r="117" spans="1:20">
      <c r="A117">
        <v>9</v>
      </c>
      <c r="B117">
        <v>135783360</v>
      </c>
      <c r="C117" t="str">
        <f t="shared" si="3"/>
        <v>9:135783360</v>
      </c>
      <c r="D117">
        <v>1</v>
      </c>
      <c r="E117" s="1">
        <v>6.7340067300000004E-3</v>
      </c>
      <c r="F117">
        <v>2</v>
      </c>
      <c r="G117">
        <v>1</v>
      </c>
      <c r="H117" s="4">
        <v>0</v>
      </c>
      <c r="I117">
        <v>13</v>
      </c>
      <c r="J117">
        <v>-603</v>
      </c>
      <c r="K117">
        <v>0</v>
      </c>
      <c r="L117">
        <v>0</v>
      </c>
      <c r="M117">
        <v>0</v>
      </c>
      <c r="N117">
        <v>0</v>
      </c>
      <c r="O117" t="str">
        <f t="shared" si="4"/>
        <v>A</v>
      </c>
      <c r="P117" t="str">
        <f t="shared" si="5"/>
        <v>G</v>
      </c>
      <c r="Q117">
        <f>IF(M117=0,0,VLOOKUP(M117,'aa codes'!$A$1:'aa codes'!$B$21,2))</f>
        <v>0</v>
      </c>
      <c r="R117">
        <f>IF(N117=0,0,VLOOKUP(N117,'aa codes'!$A$1:'aa codes'!$B$21,2))</f>
        <v>0</v>
      </c>
      <c r="S117" s="1">
        <v>0</v>
      </c>
      <c r="T117" s="1">
        <v>6.7340067300000004E-3</v>
      </c>
    </row>
    <row r="118" spans="1:20">
      <c r="A118">
        <v>9</v>
      </c>
      <c r="B118">
        <v>135783365</v>
      </c>
      <c r="C118" t="str">
        <f t="shared" si="3"/>
        <v>9:135783365</v>
      </c>
      <c r="D118">
        <v>3</v>
      </c>
      <c r="E118" s="1">
        <v>6.4724919100000002E-3</v>
      </c>
      <c r="F118">
        <v>4</v>
      </c>
      <c r="G118">
        <v>1</v>
      </c>
      <c r="H118" s="4">
        <v>0</v>
      </c>
      <c r="I118">
        <v>13</v>
      </c>
      <c r="J118">
        <v>-608</v>
      </c>
      <c r="K118">
        <v>0</v>
      </c>
      <c r="L118">
        <v>0</v>
      </c>
      <c r="M118">
        <v>0</v>
      </c>
      <c r="N118">
        <v>0</v>
      </c>
      <c r="O118" t="str">
        <f t="shared" si="4"/>
        <v>C</v>
      </c>
      <c r="P118" t="str">
        <f t="shared" si="5"/>
        <v>T</v>
      </c>
      <c r="Q118">
        <f>IF(M118=0,0,VLOOKUP(M118,'aa codes'!$A$1:'aa codes'!$B$21,2))</f>
        <v>0</v>
      </c>
      <c r="R118">
        <f>IF(N118=0,0,VLOOKUP(N118,'aa codes'!$A$1:'aa codes'!$B$21,2))</f>
        <v>0</v>
      </c>
      <c r="S118" s="1">
        <v>0</v>
      </c>
      <c r="T118" s="1">
        <v>6.4724919100000002E-3</v>
      </c>
    </row>
    <row r="119" spans="1:20">
      <c r="A119">
        <v>9</v>
      </c>
      <c r="B119">
        <v>135783641</v>
      </c>
      <c r="C119" t="str">
        <f t="shared" si="3"/>
        <v>9:135783641</v>
      </c>
      <c r="D119">
        <v>1</v>
      </c>
      <c r="E119" s="1">
        <v>5.9171597600000004E-3</v>
      </c>
      <c r="F119">
        <v>4</v>
      </c>
      <c r="G119">
        <v>1</v>
      </c>
      <c r="H119" s="4">
        <v>0</v>
      </c>
      <c r="I119">
        <v>13</v>
      </c>
      <c r="J119">
        <v>-884</v>
      </c>
      <c r="K119">
        <v>0</v>
      </c>
      <c r="L119">
        <v>0</v>
      </c>
      <c r="M119">
        <v>0</v>
      </c>
      <c r="N119">
        <v>0</v>
      </c>
      <c r="O119" t="str">
        <f t="shared" si="4"/>
        <v>A</v>
      </c>
      <c r="P119" t="str">
        <f t="shared" si="5"/>
        <v>T</v>
      </c>
      <c r="Q119">
        <f>IF(M119=0,0,VLOOKUP(M119,'aa codes'!$A$1:'aa codes'!$B$21,2))</f>
        <v>0</v>
      </c>
      <c r="R119">
        <f>IF(N119=0,0,VLOOKUP(N119,'aa codes'!$A$1:'aa codes'!$B$21,2))</f>
        <v>0</v>
      </c>
      <c r="S119" s="1">
        <v>0</v>
      </c>
      <c r="T119" s="1">
        <v>5.9171597600000004E-3</v>
      </c>
    </row>
    <row r="120" spans="1:20">
      <c r="A120">
        <v>9</v>
      </c>
      <c r="B120">
        <v>135783942</v>
      </c>
      <c r="C120" t="str">
        <f t="shared" si="3"/>
        <v>9:135783942</v>
      </c>
      <c r="D120">
        <v>3</v>
      </c>
      <c r="E120" s="1">
        <v>6.3532401499999999E-3</v>
      </c>
      <c r="F120">
        <v>4</v>
      </c>
      <c r="G120">
        <v>1</v>
      </c>
      <c r="H120" s="4">
        <v>0</v>
      </c>
      <c r="I120">
        <v>13</v>
      </c>
      <c r="J120">
        <v>-1185</v>
      </c>
      <c r="K120">
        <v>0</v>
      </c>
      <c r="L120">
        <v>0</v>
      </c>
      <c r="M120">
        <v>0</v>
      </c>
      <c r="N120">
        <v>0</v>
      </c>
      <c r="O120" t="str">
        <f t="shared" si="4"/>
        <v>C</v>
      </c>
      <c r="P120" t="str">
        <f t="shared" si="5"/>
        <v>T</v>
      </c>
      <c r="Q120">
        <f>IF(M120=0,0,VLOOKUP(M120,'aa codes'!$A$1:'aa codes'!$B$21,2))</f>
        <v>0</v>
      </c>
      <c r="R120">
        <f>IF(N120=0,0,VLOOKUP(N120,'aa codes'!$A$1:'aa codes'!$B$21,2))</f>
        <v>0</v>
      </c>
      <c r="S120" s="1">
        <v>6.3532401499999999E-3</v>
      </c>
      <c r="T120" s="1">
        <v>0</v>
      </c>
    </row>
    <row r="121" spans="1:20">
      <c r="A121">
        <v>9</v>
      </c>
      <c r="B121">
        <v>135783980</v>
      </c>
      <c r="C121" t="str">
        <f t="shared" si="3"/>
        <v>9:135783980</v>
      </c>
      <c r="D121">
        <v>1</v>
      </c>
      <c r="E121" s="1">
        <v>6.0060060100000003E-3</v>
      </c>
      <c r="F121">
        <v>2</v>
      </c>
      <c r="G121">
        <v>1</v>
      </c>
      <c r="H121" s="4">
        <v>0</v>
      </c>
      <c r="I121">
        <v>13</v>
      </c>
      <c r="J121">
        <v>-1223</v>
      </c>
      <c r="K121">
        <v>0</v>
      </c>
      <c r="L121">
        <v>0</v>
      </c>
      <c r="M121">
        <v>0</v>
      </c>
      <c r="N121">
        <v>0</v>
      </c>
      <c r="O121" t="str">
        <f t="shared" si="4"/>
        <v>A</v>
      </c>
      <c r="P121" t="str">
        <f t="shared" si="5"/>
        <v>G</v>
      </c>
      <c r="Q121">
        <f>IF(M121=0,0,VLOOKUP(M121,'aa codes'!$A$1:'aa codes'!$B$21,2))</f>
        <v>0</v>
      </c>
      <c r="R121">
        <f>IF(N121=0,0,VLOOKUP(N121,'aa codes'!$A$1:'aa codes'!$B$21,2))</f>
        <v>0</v>
      </c>
      <c r="S121" s="1">
        <v>6.0060060100000003E-3</v>
      </c>
      <c r="T121" s="1">
        <v>2.49376559E-3</v>
      </c>
    </row>
    <row r="122" spans="1:20">
      <c r="A122">
        <v>9</v>
      </c>
      <c r="B122">
        <v>135783986</v>
      </c>
      <c r="C122" t="str">
        <f t="shared" si="3"/>
        <v>9:135783986</v>
      </c>
      <c r="D122">
        <v>1</v>
      </c>
      <c r="E122" s="1">
        <v>9.4043887099999994E-3</v>
      </c>
      <c r="F122">
        <v>3</v>
      </c>
      <c r="G122">
        <v>2</v>
      </c>
      <c r="H122" s="4">
        <v>0</v>
      </c>
      <c r="I122">
        <v>13</v>
      </c>
      <c r="J122">
        <v>-1229</v>
      </c>
      <c r="K122">
        <v>0</v>
      </c>
      <c r="L122">
        <v>0</v>
      </c>
      <c r="M122">
        <v>0</v>
      </c>
      <c r="N122">
        <v>0</v>
      </c>
      <c r="O122" t="str">
        <f t="shared" si="4"/>
        <v>A</v>
      </c>
      <c r="P122" t="str">
        <f t="shared" si="5"/>
        <v>C</v>
      </c>
      <c r="Q122">
        <f>IF(M122=0,0,VLOOKUP(M122,'aa codes'!$A$1:'aa codes'!$B$21,2))</f>
        <v>0</v>
      </c>
      <c r="R122">
        <f>IF(N122=0,0,VLOOKUP(N122,'aa codes'!$A$1:'aa codes'!$B$21,2))</f>
        <v>0</v>
      </c>
      <c r="S122" s="1">
        <v>9.4043887099999994E-3</v>
      </c>
      <c r="T122" s="1">
        <v>5.3475935799999997E-3</v>
      </c>
    </row>
    <row r="123" spans="1:20">
      <c r="A123">
        <v>9</v>
      </c>
      <c r="B123">
        <v>135783989</v>
      </c>
      <c r="C123" t="str">
        <f t="shared" si="3"/>
        <v>9:135783989</v>
      </c>
      <c r="D123">
        <v>1</v>
      </c>
      <c r="E123" s="1">
        <v>1.5503876E-2</v>
      </c>
      <c r="F123">
        <v>3</v>
      </c>
      <c r="G123">
        <v>2</v>
      </c>
      <c r="H123" s="4">
        <v>0</v>
      </c>
      <c r="I123">
        <v>13</v>
      </c>
      <c r="J123">
        <v>-1232</v>
      </c>
      <c r="K123">
        <v>0</v>
      </c>
      <c r="L123">
        <v>0</v>
      </c>
      <c r="M123">
        <v>0</v>
      </c>
      <c r="N123">
        <v>0</v>
      </c>
      <c r="O123" t="str">
        <f t="shared" si="4"/>
        <v>A</v>
      </c>
      <c r="P123" t="str">
        <f t="shared" si="5"/>
        <v>C</v>
      </c>
      <c r="Q123">
        <f>IF(M123=0,0,VLOOKUP(M123,'aa codes'!$A$1:'aa codes'!$B$21,2))</f>
        <v>0</v>
      </c>
      <c r="R123">
        <f>IF(N123=0,0,VLOOKUP(N123,'aa codes'!$A$1:'aa codes'!$B$21,2))</f>
        <v>0</v>
      </c>
      <c r="S123" s="1">
        <v>1.5503876E-2</v>
      </c>
      <c r="T123" s="1">
        <v>7.9787234000000002E-3</v>
      </c>
    </row>
    <row r="124" spans="1:20">
      <c r="A124">
        <v>9</v>
      </c>
      <c r="B124">
        <v>135783992</v>
      </c>
      <c r="C124" t="str">
        <f t="shared" si="3"/>
        <v>9:135783992</v>
      </c>
      <c r="D124">
        <v>1</v>
      </c>
      <c r="E124" s="1">
        <v>2.7156549499999998E-2</v>
      </c>
      <c r="F124">
        <v>3</v>
      </c>
      <c r="G124">
        <v>2</v>
      </c>
      <c r="H124" s="4">
        <v>0</v>
      </c>
      <c r="I124">
        <v>13</v>
      </c>
      <c r="J124">
        <v>-1235</v>
      </c>
      <c r="K124">
        <v>0</v>
      </c>
      <c r="L124">
        <v>0</v>
      </c>
      <c r="M124">
        <v>0</v>
      </c>
      <c r="N124">
        <v>0</v>
      </c>
      <c r="O124" t="str">
        <f t="shared" si="4"/>
        <v>A</v>
      </c>
      <c r="P124" t="str">
        <f t="shared" si="5"/>
        <v>C</v>
      </c>
      <c r="Q124">
        <f>IF(M124=0,0,VLOOKUP(M124,'aa codes'!$A$1:'aa codes'!$B$21,2))</f>
        <v>0</v>
      </c>
      <c r="R124">
        <f>IF(N124=0,0,VLOOKUP(N124,'aa codes'!$A$1:'aa codes'!$B$21,2))</f>
        <v>0</v>
      </c>
      <c r="S124" s="1">
        <v>2.7156549499999998E-2</v>
      </c>
      <c r="T124" s="1">
        <v>2.15633423E-2</v>
      </c>
    </row>
    <row r="125" spans="1:20">
      <c r="A125">
        <v>9</v>
      </c>
      <c r="B125">
        <v>135783994</v>
      </c>
      <c r="C125" t="str">
        <f t="shared" si="3"/>
        <v>9:135783994</v>
      </c>
      <c r="D125">
        <v>1</v>
      </c>
      <c r="E125" s="1">
        <v>3.2310177699999998E-2</v>
      </c>
      <c r="F125">
        <v>3</v>
      </c>
      <c r="G125">
        <v>2</v>
      </c>
      <c r="H125" s="4">
        <v>1.54E-2</v>
      </c>
      <c r="I125">
        <v>13</v>
      </c>
      <c r="J125">
        <v>-1237</v>
      </c>
      <c r="K125">
        <v>0</v>
      </c>
      <c r="L125">
        <v>0</v>
      </c>
      <c r="M125">
        <v>0</v>
      </c>
      <c r="N125">
        <v>0</v>
      </c>
      <c r="O125" t="str">
        <f t="shared" si="4"/>
        <v>A</v>
      </c>
      <c r="P125" t="str">
        <f t="shared" si="5"/>
        <v>C</v>
      </c>
      <c r="Q125">
        <f>IF(M125=0,0,VLOOKUP(M125,'aa codes'!$A$1:'aa codes'!$B$21,2))</f>
        <v>0</v>
      </c>
      <c r="R125">
        <f>IF(N125=0,0,VLOOKUP(N125,'aa codes'!$A$1:'aa codes'!$B$21,2))</f>
        <v>0</v>
      </c>
      <c r="S125" s="1">
        <v>3.2310177699999998E-2</v>
      </c>
      <c r="T125" s="1">
        <v>1.3812154700000001E-2</v>
      </c>
    </row>
    <row r="126" spans="1:20">
      <c r="A126">
        <v>9</v>
      </c>
      <c r="B126">
        <v>135784000</v>
      </c>
      <c r="C126" t="str">
        <f t="shared" si="3"/>
        <v>9:135784000</v>
      </c>
      <c r="D126">
        <v>3</v>
      </c>
      <c r="E126" s="1">
        <v>7.8988941500000003E-3</v>
      </c>
      <c r="F126">
        <v>2</v>
      </c>
      <c r="G126">
        <v>2</v>
      </c>
      <c r="H126" s="4">
        <v>0</v>
      </c>
      <c r="I126">
        <v>13</v>
      </c>
      <c r="J126">
        <v>-1243</v>
      </c>
      <c r="K126">
        <v>0</v>
      </c>
      <c r="L126">
        <v>0</v>
      </c>
      <c r="M126">
        <v>0</v>
      </c>
      <c r="N126">
        <v>0</v>
      </c>
      <c r="O126" t="str">
        <f t="shared" si="4"/>
        <v>C</v>
      </c>
      <c r="P126" t="str">
        <f t="shared" si="5"/>
        <v>G</v>
      </c>
      <c r="Q126">
        <f>IF(M126=0,0,VLOOKUP(M126,'aa codes'!$A$1:'aa codes'!$B$21,2))</f>
        <v>0</v>
      </c>
      <c r="R126">
        <f>IF(N126=0,0,VLOOKUP(N126,'aa codes'!$A$1:'aa codes'!$B$21,2))</f>
        <v>0</v>
      </c>
      <c r="S126" s="1">
        <v>7.7262693199999996E-3</v>
      </c>
      <c r="T126" s="1">
        <v>7.8988941500000003E-3</v>
      </c>
    </row>
    <row r="127" spans="1:20">
      <c r="A127">
        <v>9</v>
      </c>
      <c r="B127">
        <v>135784001</v>
      </c>
      <c r="C127" t="str">
        <f t="shared" si="3"/>
        <v>9:135784001</v>
      </c>
      <c r="D127">
        <v>4</v>
      </c>
      <c r="E127" s="1">
        <v>2.15053763E-2</v>
      </c>
      <c r="F127">
        <v>3</v>
      </c>
      <c r="G127">
        <v>2</v>
      </c>
      <c r="H127" s="4">
        <v>0</v>
      </c>
      <c r="I127">
        <v>13</v>
      </c>
      <c r="J127">
        <v>-1244</v>
      </c>
      <c r="K127">
        <v>0</v>
      </c>
      <c r="L127">
        <v>0</v>
      </c>
      <c r="M127">
        <v>0</v>
      </c>
      <c r="N127">
        <v>0</v>
      </c>
      <c r="O127" t="str">
        <f t="shared" si="4"/>
        <v>T</v>
      </c>
      <c r="P127" t="str">
        <f t="shared" si="5"/>
        <v>C</v>
      </c>
      <c r="Q127">
        <f>IF(M127=0,0,VLOOKUP(M127,'aa codes'!$A$1:'aa codes'!$B$21,2))</f>
        <v>0</v>
      </c>
      <c r="R127">
        <f>IF(N127=0,0,VLOOKUP(N127,'aa codes'!$A$1:'aa codes'!$B$21,2))</f>
        <v>0</v>
      </c>
      <c r="S127" s="1">
        <v>1.22164049E-2</v>
      </c>
      <c r="T127" s="1">
        <v>2.15053763E-2</v>
      </c>
    </row>
    <row r="128" spans="1:20">
      <c r="A128">
        <v>9</v>
      </c>
      <c r="B128">
        <v>135784002</v>
      </c>
      <c r="C128" t="str">
        <f t="shared" si="3"/>
        <v>9:135784002</v>
      </c>
      <c r="D128">
        <v>4</v>
      </c>
      <c r="E128" s="1">
        <v>8.8691796000000007E-3</v>
      </c>
      <c r="F128">
        <v>3</v>
      </c>
      <c r="G128">
        <v>1</v>
      </c>
      <c r="H128" s="4">
        <v>0</v>
      </c>
      <c r="I128">
        <v>13</v>
      </c>
      <c r="J128">
        <v>-1245</v>
      </c>
      <c r="K128">
        <v>0</v>
      </c>
      <c r="L128">
        <v>0</v>
      </c>
      <c r="M128">
        <v>0</v>
      </c>
      <c r="N128">
        <v>0</v>
      </c>
      <c r="O128" t="str">
        <f t="shared" si="4"/>
        <v>T</v>
      </c>
      <c r="P128" t="str">
        <f t="shared" si="5"/>
        <v>C</v>
      </c>
      <c r="Q128">
        <f>IF(M128=0,0,VLOOKUP(M128,'aa codes'!$A$1:'aa codes'!$B$21,2))</f>
        <v>0</v>
      </c>
      <c r="R128">
        <f>IF(N128=0,0,VLOOKUP(N128,'aa codes'!$A$1:'aa codes'!$B$21,2))</f>
        <v>0</v>
      </c>
      <c r="S128" s="1">
        <v>0</v>
      </c>
      <c r="T128" s="1">
        <v>8.8691796000000007E-3</v>
      </c>
    </row>
    <row r="129" spans="1:20">
      <c r="A129">
        <v>9</v>
      </c>
      <c r="B129">
        <v>135784015</v>
      </c>
      <c r="C129" t="str">
        <f t="shared" si="3"/>
        <v>9:135784015</v>
      </c>
      <c r="D129">
        <v>4</v>
      </c>
      <c r="E129" s="1">
        <v>7.6804915499999998E-3</v>
      </c>
      <c r="F129">
        <v>1</v>
      </c>
      <c r="G129">
        <v>1</v>
      </c>
      <c r="H129" s="4">
        <v>0</v>
      </c>
      <c r="I129">
        <v>13</v>
      </c>
      <c r="J129">
        <v>-1258</v>
      </c>
      <c r="K129">
        <v>0</v>
      </c>
      <c r="L129">
        <v>0</v>
      </c>
      <c r="M129">
        <v>0</v>
      </c>
      <c r="N129">
        <v>0</v>
      </c>
      <c r="O129" t="str">
        <f t="shared" si="4"/>
        <v>T</v>
      </c>
      <c r="P129" t="str">
        <f t="shared" si="5"/>
        <v>A</v>
      </c>
      <c r="Q129">
        <f>IF(M129=0,0,VLOOKUP(M129,'aa codes'!$A$1:'aa codes'!$B$21,2))</f>
        <v>0</v>
      </c>
      <c r="R129">
        <f>IF(N129=0,0,VLOOKUP(N129,'aa codes'!$A$1:'aa codes'!$B$21,2))</f>
        <v>0</v>
      </c>
      <c r="S129" s="1">
        <v>7.6804915499999998E-3</v>
      </c>
      <c r="T129" s="1">
        <v>2.05761317E-3</v>
      </c>
    </row>
    <row r="130" spans="1:20">
      <c r="A130">
        <v>9</v>
      </c>
      <c r="B130">
        <v>135784016</v>
      </c>
      <c r="C130" t="str">
        <f t="shared" si="3"/>
        <v>9:135784016</v>
      </c>
      <c r="D130">
        <v>1</v>
      </c>
      <c r="E130" s="1">
        <v>2.02205882E-2</v>
      </c>
      <c r="F130">
        <v>4</v>
      </c>
      <c r="G130">
        <v>2</v>
      </c>
      <c r="H130" s="4">
        <v>0</v>
      </c>
      <c r="I130">
        <v>13</v>
      </c>
      <c r="J130">
        <v>-1259</v>
      </c>
      <c r="K130">
        <v>0</v>
      </c>
      <c r="L130">
        <v>0</v>
      </c>
      <c r="M130">
        <v>0</v>
      </c>
      <c r="N130">
        <v>0</v>
      </c>
      <c r="O130" t="str">
        <f t="shared" si="4"/>
        <v>A</v>
      </c>
      <c r="P130" t="str">
        <f t="shared" si="5"/>
        <v>T</v>
      </c>
      <c r="Q130">
        <f>IF(M130=0,0,VLOOKUP(M130,'aa codes'!$A$1:'aa codes'!$B$21,2))</f>
        <v>0</v>
      </c>
      <c r="R130">
        <f>IF(N130=0,0,VLOOKUP(N130,'aa codes'!$A$1:'aa codes'!$B$21,2))</f>
        <v>0</v>
      </c>
      <c r="S130" s="1">
        <v>2.02205882E-2</v>
      </c>
      <c r="T130" s="1">
        <v>5.3191489399999998E-3</v>
      </c>
    </row>
    <row r="131" spans="1:20">
      <c r="A131">
        <v>9</v>
      </c>
      <c r="B131">
        <v>135784017</v>
      </c>
      <c r="C131" t="str">
        <f t="shared" ref="C131:C194" si="6">A131&amp;":"&amp;B131</f>
        <v>9:135784017</v>
      </c>
      <c r="D131">
        <v>2</v>
      </c>
      <c r="E131" s="1">
        <v>1.1194029899999999E-2</v>
      </c>
      <c r="F131">
        <v>4</v>
      </c>
      <c r="G131">
        <v>2</v>
      </c>
      <c r="H131" s="4">
        <v>0</v>
      </c>
      <c r="I131">
        <v>13</v>
      </c>
      <c r="J131">
        <v>-1260</v>
      </c>
      <c r="K131">
        <v>0</v>
      </c>
      <c r="L131">
        <v>0</v>
      </c>
      <c r="M131">
        <v>0</v>
      </c>
      <c r="N131">
        <v>0</v>
      </c>
      <c r="O131" t="str">
        <f t="shared" ref="O131:O194" si="7">IF(D131=1,"A",IF(D131=2,"G",IF(D131=3,"C",IF(D131=4,"T","2NT"))))</f>
        <v>G</v>
      </c>
      <c r="P131" t="str">
        <f t="shared" ref="P131:P194" si="8">IF(F131=1,"A",IF(F131=2,"G",IF(F131=3,"C",IF(F131=4,"T","2NT"))))</f>
        <v>T</v>
      </c>
      <c r="Q131">
        <f>IF(M131=0,0,VLOOKUP(M131,'aa codes'!$A$1:'aa codes'!$B$21,2))</f>
        <v>0</v>
      </c>
      <c r="R131">
        <f>IF(N131=0,0,VLOOKUP(N131,'aa codes'!$A$1:'aa codes'!$B$21,2))</f>
        <v>0</v>
      </c>
      <c r="S131" s="1">
        <v>1.1194029899999999E-2</v>
      </c>
      <c r="T131" s="1">
        <v>5.3475935799999997E-3</v>
      </c>
    </row>
    <row r="132" spans="1:20">
      <c r="A132">
        <v>9</v>
      </c>
      <c r="B132">
        <v>135784035</v>
      </c>
      <c r="C132" t="str">
        <f t="shared" si="6"/>
        <v>9:135784035</v>
      </c>
      <c r="D132">
        <v>1</v>
      </c>
      <c r="E132" s="1">
        <v>1.3793103399999999E-2</v>
      </c>
      <c r="F132">
        <v>4</v>
      </c>
      <c r="G132">
        <v>2</v>
      </c>
      <c r="H132" s="4">
        <v>0</v>
      </c>
      <c r="I132">
        <v>13</v>
      </c>
      <c r="J132">
        <v>-1278</v>
      </c>
      <c r="K132">
        <v>0</v>
      </c>
      <c r="L132">
        <v>0</v>
      </c>
      <c r="M132">
        <v>0</v>
      </c>
      <c r="N132">
        <v>0</v>
      </c>
      <c r="O132" t="str">
        <f t="shared" si="7"/>
        <v>A</v>
      </c>
      <c r="P132" t="str">
        <f t="shared" si="8"/>
        <v>T</v>
      </c>
      <c r="Q132">
        <f>IF(M132=0,0,VLOOKUP(M132,'aa codes'!$A$1:'aa codes'!$B$21,2))</f>
        <v>0</v>
      </c>
      <c r="R132">
        <f>IF(N132=0,0,VLOOKUP(N132,'aa codes'!$A$1:'aa codes'!$B$21,2))</f>
        <v>0</v>
      </c>
      <c r="S132" s="1">
        <v>7.9744816599999994E-3</v>
      </c>
      <c r="T132" s="1">
        <v>1.3793103399999999E-2</v>
      </c>
    </row>
    <row r="133" spans="1:20">
      <c r="A133">
        <v>9</v>
      </c>
      <c r="B133">
        <v>135784169</v>
      </c>
      <c r="C133" t="str">
        <f t="shared" si="6"/>
        <v>9:135784169</v>
      </c>
      <c r="D133">
        <v>1</v>
      </c>
      <c r="E133" s="1">
        <v>0.51324503300000002</v>
      </c>
      <c r="F133">
        <v>3</v>
      </c>
      <c r="G133">
        <v>2</v>
      </c>
      <c r="H133" s="4">
        <v>0.42830000000000001</v>
      </c>
      <c r="I133">
        <v>13</v>
      </c>
      <c r="J133">
        <v>-1412</v>
      </c>
      <c r="K133">
        <v>0</v>
      </c>
      <c r="L133">
        <v>0</v>
      </c>
      <c r="M133">
        <v>0</v>
      </c>
      <c r="N133">
        <v>0</v>
      </c>
      <c r="O133" t="str">
        <f t="shared" si="7"/>
        <v>A</v>
      </c>
      <c r="P133" t="str">
        <f t="shared" si="8"/>
        <v>C</v>
      </c>
      <c r="Q133">
        <f>IF(M133=0,0,VLOOKUP(M133,'aa codes'!$A$1:'aa codes'!$B$21,2))</f>
        <v>0</v>
      </c>
      <c r="R133">
        <f>IF(N133=0,0,VLOOKUP(N133,'aa codes'!$A$1:'aa codes'!$B$21,2))</f>
        <v>0</v>
      </c>
      <c r="S133" s="1">
        <v>0.49590643299999998</v>
      </c>
      <c r="T133" s="1">
        <v>0.51324503300000002</v>
      </c>
    </row>
    <row r="134" spans="1:20">
      <c r="A134">
        <v>9</v>
      </c>
      <c r="B134">
        <v>135784262</v>
      </c>
      <c r="C134" t="str">
        <f t="shared" si="6"/>
        <v>9:135784262</v>
      </c>
      <c r="D134">
        <v>2</v>
      </c>
      <c r="E134" s="1">
        <v>6.3532401499999999E-3</v>
      </c>
      <c r="F134">
        <v>4</v>
      </c>
      <c r="G134">
        <v>1</v>
      </c>
      <c r="H134" s="4">
        <v>0</v>
      </c>
      <c r="I134">
        <v>13</v>
      </c>
      <c r="J134">
        <v>-1505</v>
      </c>
      <c r="K134">
        <v>0</v>
      </c>
      <c r="L134">
        <v>0</v>
      </c>
      <c r="M134">
        <v>0</v>
      </c>
      <c r="N134">
        <v>0</v>
      </c>
      <c r="O134" t="str">
        <f t="shared" si="7"/>
        <v>G</v>
      </c>
      <c r="P134" t="str">
        <f t="shared" si="8"/>
        <v>T</v>
      </c>
      <c r="Q134">
        <f>IF(M134=0,0,VLOOKUP(M134,'aa codes'!$A$1:'aa codes'!$B$21,2))</f>
        <v>0</v>
      </c>
      <c r="R134">
        <f>IF(N134=0,0,VLOOKUP(N134,'aa codes'!$A$1:'aa codes'!$B$21,2))</f>
        <v>0</v>
      </c>
      <c r="S134" s="1">
        <v>6.3532401499999999E-3</v>
      </c>
      <c r="T134" s="1">
        <v>3.86100386E-3</v>
      </c>
    </row>
    <row r="135" spans="1:20">
      <c r="A135">
        <v>9</v>
      </c>
      <c r="B135">
        <v>135784285</v>
      </c>
      <c r="C135" t="str">
        <f t="shared" si="6"/>
        <v>9:135784285</v>
      </c>
      <c r="D135">
        <v>2</v>
      </c>
      <c r="E135" s="1">
        <v>6.9930069899999999E-3</v>
      </c>
      <c r="F135">
        <v>4</v>
      </c>
      <c r="G135">
        <v>1</v>
      </c>
      <c r="H135" s="4">
        <v>0</v>
      </c>
      <c r="I135">
        <v>13</v>
      </c>
      <c r="J135">
        <v>-1528</v>
      </c>
      <c r="K135">
        <v>0</v>
      </c>
      <c r="L135">
        <v>0</v>
      </c>
      <c r="M135">
        <v>0</v>
      </c>
      <c r="N135">
        <v>0</v>
      </c>
      <c r="O135" t="str">
        <f t="shared" si="7"/>
        <v>G</v>
      </c>
      <c r="P135" t="str">
        <f t="shared" si="8"/>
        <v>T</v>
      </c>
      <c r="Q135">
        <f>IF(M135=0,0,VLOOKUP(M135,'aa codes'!$A$1:'aa codes'!$B$21,2))</f>
        <v>0</v>
      </c>
      <c r="R135">
        <f>IF(N135=0,0,VLOOKUP(N135,'aa codes'!$A$1:'aa codes'!$B$21,2))</f>
        <v>0</v>
      </c>
      <c r="S135" s="1">
        <v>4.7468354399999996E-3</v>
      </c>
      <c r="T135" s="1">
        <v>6.9930069899999999E-3</v>
      </c>
    </row>
    <row r="136" spans="1:20">
      <c r="A136">
        <v>9</v>
      </c>
      <c r="B136">
        <v>135784288</v>
      </c>
      <c r="C136" t="str">
        <f t="shared" si="6"/>
        <v>9:135784288</v>
      </c>
      <c r="D136">
        <v>3</v>
      </c>
      <c r="E136" s="1">
        <v>1.3170272800000001E-2</v>
      </c>
      <c r="F136">
        <v>4</v>
      </c>
      <c r="G136">
        <v>1</v>
      </c>
      <c r="H136" s="4">
        <v>0</v>
      </c>
      <c r="I136">
        <v>13</v>
      </c>
      <c r="J136">
        <v>-1531</v>
      </c>
      <c r="K136">
        <v>0</v>
      </c>
      <c r="L136">
        <v>0</v>
      </c>
      <c r="M136">
        <v>0</v>
      </c>
      <c r="N136">
        <v>0</v>
      </c>
      <c r="O136" t="str">
        <f t="shared" si="7"/>
        <v>C</v>
      </c>
      <c r="P136" t="str">
        <f t="shared" si="8"/>
        <v>T</v>
      </c>
      <c r="Q136">
        <f>IF(M136=0,0,VLOOKUP(M136,'aa codes'!$A$1:'aa codes'!$B$21,2))</f>
        <v>0</v>
      </c>
      <c r="R136">
        <f>IF(N136=0,0,VLOOKUP(N136,'aa codes'!$A$1:'aa codes'!$B$21,2))</f>
        <v>0</v>
      </c>
      <c r="S136" s="1">
        <v>1.3170272800000001E-2</v>
      </c>
      <c r="T136" s="1">
        <v>4.1551246499999996E-3</v>
      </c>
    </row>
    <row r="137" spans="1:20">
      <c r="A137">
        <v>9</v>
      </c>
      <c r="B137">
        <v>135784289</v>
      </c>
      <c r="C137" t="str">
        <f t="shared" si="6"/>
        <v>9:135784289</v>
      </c>
      <c r="D137">
        <v>4</v>
      </c>
      <c r="E137" s="1">
        <v>7.0921985800000004E-3</v>
      </c>
      <c r="F137">
        <v>3</v>
      </c>
      <c r="G137">
        <v>2</v>
      </c>
      <c r="H137" s="4">
        <v>0</v>
      </c>
      <c r="I137">
        <v>13</v>
      </c>
      <c r="J137">
        <v>-1532</v>
      </c>
      <c r="K137">
        <v>0</v>
      </c>
      <c r="L137">
        <v>0</v>
      </c>
      <c r="M137">
        <v>0</v>
      </c>
      <c r="N137">
        <v>0</v>
      </c>
      <c r="O137" t="str">
        <f t="shared" si="7"/>
        <v>T</v>
      </c>
      <c r="P137" t="str">
        <f t="shared" si="8"/>
        <v>C</v>
      </c>
      <c r="Q137">
        <f>IF(M137=0,0,VLOOKUP(M137,'aa codes'!$A$1:'aa codes'!$B$21,2))</f>
        <v>0</v>
      </c>
      <c r="R137">
        <f>IF(N137=0,0,VLOOKUP(N137,'aa codes'!$A$1:'aa codes'!$B$21,2))</f>
        <v>0</v>
      </c>
      <c r="S137" s="1">
        <v>6.4205457500000002E-3</v>
      </c>
      <c r="T137" s="1">
        <v>7.0921985800000004E-3</v>
      </c>
    </row>
    <row r="138" spans="1:20">
      <c r="A138">
        <v>9</v>
      </c>
      <c r="B138">
        <v>135784303</v>
      </c>
      <c r="C138" t="str">
        <f t="shared" si="6"/>
        <v>9:135784303</v>
      </c>
      <c r="D138">
        <v>4</v>
      </c>
      <c r="E138" s="1">
        <v>5.5045871600000002E-3</v>
      </c>
      <c r="F138">
        <v>2</v>
      </c>
      <c r="G138">
        <v>1</v>
      </c>
      <c r="H138" s="4">
        <v>0</v>
      </c>
      <c r="I138">
        <v>13</v>
      </c>
      <c r="J138">
        <v>-1546</v>
      </c>
      <c r="K138">
        <v>0</v>
      </c>
      <c r="L138">
        <v>0</v>
      </c>
      <c r="M138">
        <v>0</v>
      </c>
      <c r="N138">
        <v>0</v>
      </c>
      <c r="O138" t="str">
        <f t="shared" si="7"/>
        <v>T</v>
      </c>
      <c r="P138" t="str">
        <f t="shared" si="8"/>
        <v>G</v>
      </c>
      <c r="Q138">
        <f>IF(M138=0,0,VLOOKUP(M138,'aa codes'!$A$1:'aa codes'!$B$21,2))</f>
        <v>0</v>
      </c>
      <c r="R138">
        <f>IF(N138=0,0,VLOOKUP(N138,'aa codes'!$A$1:'aa codes'!$B$21,2))</f>
        <v>0</v>
      </c>
      <c r="S138" s="1">
        <v>0</v>
      </c>
      <c r="T138" s="1">
        <v>5.5045871600000002E-3</v>
      </c>
    </row>
    <row r="139" spans="1:20">
      <c r="A139">
        <v>9</v>
      </c>
      <c r="B139">
        <v>135784304</v>
      </c>
      <c r="C139" t="str">
        <f t="shared" si="6"/>
        <v>9:135784304</v>
      </c>
      <c r="D139">
        <v>4</v>
      </c>
      <c r="E139" s="1">
        <v>1.49253731E-2</v>
      </c>
      <c r="F139">
        <v>2</v>
      </c>
      <c r="G139">
        <v>2</v>
      </c>
      <c r="H139" s="4">
        <v>0</v>
      </c>
      <c r="I139">
        <v>13</v>
      </c>
      <c r="J139">
        <v>-1547</v>
      </c>
      <c r="K139">
        <v>0</v>
      </c>
      <c r="L139">
        <v>0</v>
      </c>
      <c r="M139">
        <v>0</v>
      </c>
      <c r="N139">
        <v>0</v>
      </c>
      <c r="O139" t="str">
        <f t="shared" si="7"/>
        <v>T</v>
      </c>
      <c r="P139" t="str">
        <f t="shared" si="8"/>
        <v>G</v>
      </c>
      <c r="Q139">
        <f>IF(M139=0,0,VLOOKUP(M139,'aa codes'!$A$1:'aa codes'!$B$21,2))</f>
        <v>0</v>
      </c>
      <c r="R139">
        <f>IF(N139=0,0,VLOOKUP(N139,'aa codes'!$A$1:'aa codes'!$B$21,2))</f>
        <v>0</v>
      </c>
      <c r="S139" s="1">
        <v>5.5944055899999996E-3</v>
      </c>
      <c r="T139" s="1">
        <v>1.49253731E-2</v>
      </c>
    </row>
    <row r="140" spans="1:20">
      <c r="A140">
        <v>9</v>
      </c>
      <c r="B140">
        <v>135784305</v>
      </c>
      <c r="C140" t="str">
        <f t="shared" si="6"/>
        <v>9:135784305</v>
      </c>
      <c r="D140">
        <v>4</v>
      </c>
      <c r="E140" s="1">
        <v>3.5580524299999999E-2</v>
      </c>
      <c r="F140">
        <v>2</v>
      </c>
      <c r="G140">
        <v>2</v>
      </c>
      <c r="H140" s="4">
        <v>0</v>
      </c>
      <c r="I140">
        <v>13</v>
      </c>
      <c r="J140">
        <v>-1548</v>
      </c>
      <c r="K140">
        <v>0</v>
      </c>
      <c r="L140">
        <v>0</v>
      </c>
      <c r="M140">
        <v>0</v>
      </c>
      <c r="N140">
        <v>0</v>
      </c>
      <c r="O140" t="str">
        <f t="shared" si="7"/>
        <v>T</v>
      </c>
      <c r="P140" t="str">
        <f t="shared" si="8"/>
        <v>G</v>
      </c>
      <c r="Q140">
        <f>IF(M140=0,0,VLOOKUP(M140,'aa codes'!$A$1:'aa codes'!$B$21,2))</f>
        <v>0</v>
      </c>
      <c r="R140">
        <f>IF(N140=0,0,VLOOKUP(N140,'aa codes'!$A$1:'aa codes'!$B$21,2))</f>
        <v>0</v>
      </c>
      <c r="S140" s="1">
        <v>1.12359551E-2</v>
      </c>
      <c r="T140" s="1">
        <v>3.5580524299999999E-2</v>
      </c>
    </row>
    <row r="141" spans="1:20">
      <c r="A141">
        <v>9</v>
      </c>
      <c r="B141">
        <v>135784306</v>
      </c>
      <c r="C141" t="str">
        <f t="shared" si="6"/>
        <v>9:135784306</v>
      </c>
      <c r="D141">
        <v>2</v>
      </c>
      <c r="E141" s="1">
        <v>5.20094563E-2</v>
      </c>
      <c r="F141">
        <v>4</v>
      </c>
      <c r="G141">
        <v>2</v>
      </c>
      <c r="H141" s="4">
        <v>0</v>
      </c>
      <c r="I141">
        <v>13</v>
      </c>
      <c r="J141">
        <v>-1549</v>
      </c>
      <c r="K141">
        <v>0</v>
      </c>
      <c r="L141">
        <v>0</v>
      </c>
      <c r="M141">
        <v>0</v>
      </c>
      <c r="N141">
        <v>0</v>
      </c>
      <c r="O141" t="str">
        <f t="shared" si="7"/>
        <v>G</v>
      </c>
      <c r="P141" t="str">
        <f t="shared" si="8"/>
        <v>T</v>
      </c>
      <c r="Q141">
        <f>IF(M141=0,0,VLOOKUP(M141,'aa codes'!$A$1:'aa codes'!$B$21,2))</f>
        <v>0</v>
      </c>
      <c r="R141">
        <f>IF(N141=0,0,VLOOKUP(N141,'aa codes'!$A$1:'aa codes'!$B$21,2))</f>
        <v>0</v>
      </c>
      <c r="S141" s="1">
        <v>4.0209790199999998E-2</v>
      </c>
      <c r="T141" s="1">
        <v>5.20094563E-2</v>
      </c>
    </row>
    <row r="142" spans="1:20">
      <c r="A142">
        <v>9</v>
      </c>
      <c r="B142">
        <v>135784307</v>
      </c>
      <c r="C142" t="str">
        <f t="shared" si="6"/>
        <v>9:135784307</v>
      </c>
      <c r="D142">
        <v>4</v>
      </c>
      <c r="E142" s="1">
        <v>1.75438596E-2</v>
      </c>
      <c r="F142">
        <v>2</v>
      </c>
      <c r="G142">
        <v>1</v>
      </c>
      <c r="H142" s="4">
        <v>0</v>
      </c>
      <c r="I142">
        <v>13</v>
      </c>
      <c r="J142">
        <v>-1550</v>
      </c>
      <c r="K142">
        <v>0</v>
      </c>
      <c r="L142">
        <v>0</v>
      </c>
      <c r="M142">
        <v>0</v>
      </c>
      <c r="N142">
        <v>0</v>
      </c>
      <c r="O142" t="str">
        <f t="shared" si="7"/>
        <v>T</v>
      </c>
      <c r="P142" t="str">
        <f t="shared" si="8"/>
        <v>G</v>
      </c>
      <c r="Q142">
        <f>IF(M142=0,0,VLOOKUP(M142,'aa codes'!$A$1:'aa codes'!$B$21,2))</f>
        <v>0</v>
      </c>
      <c r="R142">
        <f>IF(N142=0,0,VLOOKUP(N142,'aa codes'!$A$1:'aa codes'!$B$21,2))</f>
        <v>0</v>
      </c>
      <c r="S142" s="1">
        <v>3.1347962399999999E-3</v>
      </c>
      <c r="T142" s="1">
        <v>1.75438596E-2</v>
      </c>
    </row>
    <row r="143" spans="1:20">
      <c r="A143">
        <v>9</v>
      </c>
      <c r="B143">
        <v>135784309</v>
      </c>
      <c r="C143" t="str">
        <f t="shared" si="6"/>
        <v>9:135784309</v>
      </c>
      <c r="D143">
        <v>1</v>
      </c>
      <c r="E143" s="1">
        <v>1.43884892E-2</v>
      </c>
      <c r="F143">
        <v>4</v>
      </c>
      <c r="G143">
        <v>2</v>
      </c>
      <c r="H143" s="4">
        <v>0</v>
      </c>
      <c r="I143">
        <v>13</v>
      </c>
      <c r="J143">
        <v>-1552</v>
      </c>
      <c r="K143">
        <v>0</v>
      </c>
      <c r="L143">
        <v>0</v>
      </c>
      <c r="M143">
        <v>0</v>
      </c>
      <c r="N143">
        <v>0</v>
      </c>
      <c r="O143" t="str">
        <f t="shared" si="7"/>
        <v>A</v>
      </c>
      <c r="P143" t="str">
        <f t="shared" si="8"/>
        <v>T</v>
      </c>
      <c r="Q143">
        <f>IF(M143=0,0,VLOOKUP(M143,'aa codes'!$A$1:'aa codes'!$B$21,2))</f>
        <v>0</v>
      </c>
      <c r="R143">
        <f>IF(N143=0,0,VLOOKUP(N143,'aa codes'!$A$1:'aa codes'!$B$21,2))</f>
        <v>0</v>
      </c>
      <c r="S143" s="1">
        <v>9.3896713600000008E-3</v>
      </c>
      <c r="T143" s="1">
        <v>1.43884892E-2</v>
      </c>
    </row>
    <row r="144" spans="1:20">
      <c r="A144">
        <v>9</v>
      </c>
      <c r="B144">
        <v>135784311</v>
      </c>
      <c r="C144" t="str">
        <f t="shared" si="6"/>
        <v>9:135784311</v>
      </c>
      <c r="D144">
        <v>1</v>
      </c>
      <c r="E144" s="1">
        <v>1.2224938899999999E-2</v>
      </c>
      <c r="F144">
        <v>4</v>
      </c>
      <c r="G144">
        <v>1</v>
      </c>
      <c r="H144" s="4">
        <v>0</v>
      </c>
      <c r="I144">
        <v>13</v>
      </c>
      <c r="J144">
        <v>-1554</v>
      </c>
      <c r="K144">
        <v>0</v>
      </c>
      <c r="L144">
        <v>0</v>
      </c>
      <c r="M144">
        <v>0</v>
      </c>
      <c r="N144">
        <v>0</v>
      </c>
      <c r="O144" t="str">
        <f t="shared" si="7"/>
        <v>A</v>
      </c>
      <c r="P144" t="str">
        <f t="shared" si="8"/>
        <v>T</v>
      </c>
      <c r="Q144">
        <f>IF(M144=0,0,VLOOKUP(M144,'aa codes'!$A$1:'aa codes'!$B$21,2))</f>
        <v>0</v>
      </c>
      <c r="R144">
        <f>IF(N144=0,0,VLOOKUP(N144,'aa codes'!$A$1:'aa codes'!$B$21,2))</f>
        <v>0</v>
      </c>
      <c r="S144" s="1">
        <v>1.53374233E-3</v>
      </c>
      <c r="T144" s="1">
        <v>1.2224938899999999E-2</v>
      </c>
    </row>
    <row r="145" spans="1:20">
      <c r="A145">
        <v>9</v>
      </c>
      <c r="B145">
        <v>135784317</v>
      </c>
      <c r="C145" t="str">
        <f t="shared" si="6"/>
        <v>9:135784317</v>
      </c>
      <c r="D145">
        <v>2</v>
      </c>
      <c r="E145" s="1">
        <v>5.2493438300000002E-3</v>
      </c>
      <c r="F145">
        <v>4</v>
      </c>
      <c r="G145">
        <v>1</v>
      </c>
      <c r="H145" s="4">
        <v>0</v>
      </c>
      <c r="I145">
        <v>13</v>
      </c>
      <c r="J145">
        <v>-1560</v>
      </c>
      <c r="K145">
        <v>0</v>
      </c>
      <c r="L145">
        <v>0</v>
      </c>
      <c r="M145">
        <v>0</v>
      </c>
      <c r="N145">
        <v>0</v>
      </c>
      <c r="O145" t="str">
        <f t="shared" si="7"/>
        <v>G</v>
      </c>
      <c r="P145" t="str">
        <f t="shared" si="8"/>
        <v>T</v>
      </c>
      <c r="Q145">
        <f>IF(M145=0,0,VLOOKUP(M145,'aa codes'!$A$1:'aa codes'!$B$21,2))</f>
        <v>0</v>
      </c>
      <c r="R145">
        <f>IF(N145=0,0,VLOOKUP(N145,'aa codes'!$A$1:'aa codes'!$B$21,2))</f>
        <v>0</v>
      </c>
      <c r="S145" s="1">
        <v>0</v>
      </c>
      <c r="T145" s="1">
        <v>5.2493438300000002E-3</v>
      </c>
    </row>
    <row r="146" spans="1:20">
      <c r="A146">
        <v>9</v>
      </c>
      <c r="B146">
        <v>135784362</v>
      </c>
      <c r="C146" t="str">
        <f t="shared" si="6"/>
        <v>9:135784362</v>
      </c>
      <c r="D146">
        <v>1</v>
      </c>
      <c r="E146" s="1">
        <v>7.0671378099999996E-3</v>
      </c>
      <c r="F146">
        <v>2</v>
      </c>
      <c r="G146">
        <v>1</v>
      </c>
      <c r="H146" s="4">
        <v>0</v>
      </c>
      <c r="I146">
        <v>12</v>
      </c>
      <c r="J146">
        <v>1596</v>
      </c>
      <c r="K146">
        <v>0</v>
      </c>
      <c r="L146">
        <v>0</v>
      </c>
      <c r="M146">
        <v>0</v>
      </c>
      <c r="N146">
        <v>0</v>
      </c>
      <c r="O146" t="str">
        <f t="shared" si="7"/>
        <v>A</v>
      </c>
      <c r="P146" t="str">
        <f t="shared" si="8"/>
        <v>G</v>
      </c>
      <c r="Q146">
        <f>IF(M146=0,0,VLOOKUP(M146,'aa codes'!$A$1:'aa codes'!$B$21,2))</f>
        <v>0</v>
      </c>
      <c r="R146">
        <f>IF(N146=0,0,VLOOKUP(N146,'aa codes'!$A$1:'aa codes'!$B$21,2))</f>
        <v>0</v>
      </c>
      <c r="S146" s="1">
        <v>1.9762845799999999E-3</v>
      </c>
      <c r="T146" s="1">
        <v>7.0671378099999996E-3</v>
      </c>
    </row>
    <row r="147" spans="1:20">
      <c r="A147">
        <v>9</v>
      </c>
      <c r="B147">
        <v>135784365</v>
      </c>
      <c r="C147" t="str">
        <f t="shared" si="6"/>
        <v>9:135784365</v>
      </c>
      <c r="D147">
        <v>4</v>
      </c>
      <c r="E147" s="1">
        <v>7.1942446E-3</v>
      </c>
      <c r="F147">
        <v>3</v>
      </c>
      <c r="G147">
        <v>1</v>
      </c>
      <c r="H147" s="4">
        <v>0</v>
      </c>
      <c r="I147">
        <v>12</v>
      </c>
      <c r="J147">
        <v>1593</v>
      </c>
      <c r="K147">
        <v>0</v>
      </c>
      <c r="L147">
        <v>0</v>
      </c>
      <c r="M147">
        <v>0</v>
      </c>
      <c r="N147">
        <v>0</v>
      </c>
      <c r="O147" t="str">
        <f t="shared" si="7"/>
        <v>T</v>
      </c>
      <c r="P147" t="str">
        <f t="shared" si="8"/>
        <v>C</v>
      </c>
      <c r="Q147">
        <f>IF(M147=0,0,VLOOKUP(M147,'aa codes'!$A$1:'aa codes'!$B$21,2))</f>
        <v>0</v>
      </c>
      <c r="R147">
        <f>IF(N147=0,0,VLOOKUP(N147,'aa codes'!$A$1:'aa codes'!$B$21,2))</f>
        <v>0</v>
      </c>
      <c r="S147" s="1">
        <v>1.94931774E-3</v>
      </c>
      <c r="T147" s="1">
        <v>7.1942446E-3</v>
      </c>
    </row>
    <row r="148" spans="1:20">
      <c r="A148">
        <v>9</v>
      </c>
      <c r="B148">
        <v>135784372</v>
      </c>
      <c r="C148" t="str">
        <f t="shared" si="6"/>
        <v>9:135784372</v>
      </c>
      <c r="D148">
        <v>1</v>
      </c>
      <c r="E148" s="1">
        <v>7.3800738000000003E-3</v>
      </c>
      <c r="F148">
        <v>2</v>
      </c>
      <c r="G148">
        <v>1</v>
      </c>
      <c r="H148" s="4">
        <v>0</v>
      </c>
      <c r="I148">
        <v>12</v>
      </c>
      <c r="J148">
        <v>1586</v>
      </c>
      <c r="K148">
        <v>0</v>
      </c>
      <c r="L148">
        <v>0</v>
      </c>
      <c r="M148">
        <v>0</v>
      </c>
      <c r="N148">
        <v>0</v>
      </c>
      <c r="O148" t="str">
        <f t="shared" si="7"/>
        <v>A</v>
      </c>
      <c r="P148" t="str">
        <f t="shared" si="8"/>
        <v>G</v>
      </c>
      <c r="Q148">
        <f>IF(M148=0,0,VLOOKUP(M148,'aa codes'!$A$1:'aa codes'!$B$21,2))</f>
        <v>0</v>
      </c>
      <c r="R148">
        <f>IF(N148=0,0,VLOOKUP(N148,'aa codes'!$A$1:'aa codes'!$B$21,2))</f>
        <v>0</v>
      </c>
      <c r="S148" s="1">
        <v>1.98807157E-3</v>
      </c>
      <c r="T148" s="1">
        <v>7.3800738000000003E-3</v>
      </c>
    </row>
    <row r="149" spans="1:20">
      <c r="A149">
        <v>9</v>
      </c>
      <c r="B149">
        <v>135785503</v>
      </c>
      <c r="C149" t="str">
        <f t="shared" si="6"/>
        <v>9:135785503</v>
      </c>
      <c r="D149">
        <v>4</v>
      </c>
      <c r="E149" s="1">
        <v>6.6115702499999996E-3</v>
      </c>
      <c r="F149">
        <v>2</v>
      </c>
      <c r="G149">
        <v>1</v>
      </c>
      <c r="H149" s="4">
        <v>0</v>
      </c>
      <c r="I149">
        <v>12</v>
      </c>
      <c r="J149">
        <v>455</v>
      </c>
      <c r="K149">
        <v>0</v>
      </c>
      <c r="L149">
        <v>0</v>
      </c>
      <c r="M149">
        <v>0</v>
      </c>
      <c r="N149">
        <v>0</v>
      </c>
      <c r="O149" t="str">
        <f t="shared" si="7"/>
        <v>T</v>
      </c>
      <c r="P149" t="str">
        <f t="shared" si="8"/>
        <v>G</v>
      </c>
      <c r="Q149">
        <f>IF(M149=0,0,VLOOKUP(M149,'aa codes'!$A$1:'aa codes'!$B$21,2))</f>
        <v>0</v>
      </c>
      <c r="R149">
        <f>IF(N149=0,0,VLOOKUP(N149,'aa codes'!$A$1:'aa codes'!$B$21,2))</f>
        <v>0</v>
      </c>
      <c r="S149" s="1">
        <v>6.6115702499999996E-3</v>
      </c>
      <c r="T149" s="1">
        <v>2.4691358000000002E-3</v>
      </c>
    </row>
    <row r="150" spans="1:20">
      <c r="A150">
        <v>9</v>
      </c>
      <c r="B150">
        <v>135785506</v>
      </c>
      <c r="C150" t="str">
        <f t="shared" si="6"/>
        <v>9:135785506</v>
      </c>
      <c r="D150">
        <v>4</v>
      </c>
      <c r="E150" s="1">
        <v>5.1457975999999999E-3</v>
      </c>
      <c r="F150">
        <v>3</v>
      </c>
      <c r="G150">
        <v>1</v>
      </c>
      <c r="H150" s="4">
        <v>0</v>
      </c>
      <c r="I150">
        <v>12</v>
      </c>
      <c r="J150">
        <v>452</v>
      </c>
      <c r="K150">
        <v>0</v>
      </c>
      <c r="L150">
        <v>0</v>
      </c>
      <c r="M150">
        <v>0</v>
      </c>
      <c r="N150">
        <v>0</v>
      </c>
      <c r="O150" t="str">
        <f t="shared" si="7"/>
        <v>T</v>
      </c>
      <c r="P150" t="str">
        <f t="shared" si="8"/>
        <v>C</v>
      </c>
      <c r="Q150">
        <f>IF(M150=0,0,VLOOKUP(M150,'aa codes'!$A$1:'aa codes'!$B$21,2))</f>
        <v>0</v>
      </c>
      <c r="R150">
        <f>IF(N150=0,0,VLOOKUP(N150,'aa codes'!$A$1:'aa codes'!$B$21,2))</f>
        <v>0</v>
      </c>
      <c r="S150" s="1">
        <v>5.1457975999999999E-3</v>
      </c>
      <c r="T150" s="1">
        <v>2.4154589399999998E-3</v>
      </c>
    </row>
    <row r="151" spans="1:20">
      <c r="A151">
        <v>9</v>
      </c>
      <c r="B151">
        <v>135785507</v>
      </c>
      <c r="C151" t="str">
        <f t="shared" si="6"/>
        <v>9:135785507</v>
      </c>
      <c r="D151">
        <v>2</v>
      </c>
      <c r="E151" s="1">
        <v>6.54664484E-3</v>
      </c>
      <c r="F151">
        <v>1</v>
      </c>
      <c r="G151">
        <v>1</v>
      </c>
      <c r="H151" s="4">
        <v>0</v>
      </c>
      <c r="I151">
        <v>12</v>
      </c>
      <c r="J151">
        <v>451</v>
      </c>
      <c r="K151">
        <v>0</v>
      </c>
      <c r="L151">
        <v>0</v>
      </c>
      <c r="M151">
        <v>0</v>
      </c>
      <c r="N151">
        <v>0</v>
      </c>
      <c r="O151" t="str">
        <f t="shared" si="7"/>
        <v>G</v>
      </c>
      <c r="P151" t="str">
        <f t="shared" si="8"/>
        <v>A</v>
      </c>
      <c r="Q151">
        <f>IF(M151=0,0,VLOOKUP(M151,'aa codes'!$A$1:'aa codes'!$B$21,2))</f>
        <v>0</v>
      </c>
      <c r="R151">
        <f>IF(N151=0,0,VLOOKUP(N151,'aa codes'!$A$1:'aa codes'!$B$21,2))</f>
        <v>0</v>
      </c>
      <c r="S151" s="1">
        <v>6.54664484E-3</v>
      </c>
      <c r="T151" s="1">
        <v>4.6838407500000004E-3</v>
      </c>
    </row>
    <row r="152" spans="1:20">
      <c r="A152">
        <v>9</v>
      </c>
      <c r="B152">
        <v>135785513</v>
      </c>
      <c r="C152" t="str">
        <f t="shared" si="6"/>
        <v>9:135785513</v>
      </c>
      <c r="D152">
        <v>4</v>
      </c>
      <c r="E152" s="1">
        <v>5.2910052900000002E-3</v>
      </c>
      <c r="F152">
        <v>3</v>
      </c>
      <c r="G152">
        <v>1</v>
      </c>
      <c r="H152" s="4">
        <v>0</v>
      </c>
      <c r="I152">
        <v>12</v>
      </c>
      <c r="J152">
        <v>445</v>
      </c>
      <c r="K152">
        <v>0</v>
      </c>
      <c r="L152">
        <v>0</v>
      </c>
      <c r="M152">
        <v>0</v>
      </c>
      <c r="N152">
        <v>0</v>
      </c>
      <c r="O152" t="str">
        <f t="shared" si="7"/>
        <v>T</v>
      </c>
      <c r="P152" t="str">
        <f t="shared" si="8"/>
        <v>C</v>
      </c>
      <c r="Q152">
        <f>IF(M152=0,0,VLOOKUP(M152,'aa codes'!$A$1:'aa codes'!$B$21,2))</f>
        <v>0</v>
      </c>
      <c r="R152">
        <f>IF(N152=0,0,VLOOKUP(N152,'aa codes'!$A$1:'aa codes'!$B$21,2))</f>
        <v>0</v>
      </c>
      <c r="S152" s="1">
        <v>5.2910052900000002E-3</v>
      </c>
      <c r="T152" s="1">
        <v>2.5125628100000001E-3</v>
      </c>
    </row>
    <row r="153" spans="1:20">
      <c r="A153">
        <v>9</v>
      </c>
      <c r="B153">
        <v>135785515</v>
      </c>
      <c r="C153" t="str">
        <f t="shared" si="6"/>
        <v>9:135785515</v>
      </c>
      <c r="D153">
        <v>1</v>
      </c>
      <c r="E153" s="1">
        <v>5.0335570499999999E-3</v>
      </c>
      <c r="F153">
        <v>2</v>
      </c>
      <c r="G153">
        <v>1</v>
      </c>
      <c r="H153" s="4">
        <v>0</v>
      </c>
      <c r="I153">
        <v>12</v>
      </c>
      <c r="J153">
        <v>443</v>
      </c>
      <c r="K153">
        <v>0</v>
      </c>
      <c r="L153">
        <v>0</v>
      </c>
      <c r="M153">
        <v>0</v>
      </c>
      <c r="N153">
        <v>0</v>
      </c>
      <c r="O153" t="str">
        <f t="shared" si="7"/>
        <v>A</v>
      </c>
      <c r="P153" t="str">
        <f t="shared" si="8"/>
        <v>G</v>
      </c>
      <c r="Q153">
        <f>IF(M153=0,0,VLOOKUP(M153,'aa codes'!$A$1:'aa codes'!$B$21,2))</f>
        <v>0</v>
      </c>
      <c r="R153">
        <f>IF(N153=0,0,VLOOKUP(N153,'aa codes'!$A$1:'aa codes'!$B$21,2))</f>
        <v>0</v>
      </c>
      <c r="S153" s="1">
        <v>5.0335570499999999E-3</v>
      </c>
      <c r="T153" s="1">
        <v>2.3923445E-3</v>
      </c>
    </row>
    <row r="154" spans="1:20">
      <c r="A154">
        <v>9</v>
      </c>
      <c r="B154">
        <v>135785521</v>
      </c>
      <c r="C154" t="str">
        <f t="shared" si="6"/>
        <v>9:135785521</v>
      </c>
      <c r="D154">
        <v>1</v>
      </c>
      <c r="E154" s="1">
        <v>1.3698630099999999E-2</v>
      </c>
      <c r="F154">
        <v>3</v>
      </c>
      <c r="G154">
        <v>1</v>
      </c>
      <c r="H154" s="4">
        <v>0</v>
      </c>
      <c r="I154">
        <v>12</v>
      </c>
      <c r="J154">
        <v>437</v>
      </c>
      <c r="K154">
        <v>0</v>
      </c>
      <c r="L154">
        <v>0</v>
      </c>
      <c r="M154">
        <v>0</v>
      </c>
      <c r="N154">
        <v>0</v>
      </c>
      <c r="O154" t="str">
        <f t="shared" si="7"/>
        <v>A</v>
      </c>
      <c r="P154" t="str">
        <f t="shared" si="8"/>
        <v>C</v>
      </c>
      <c r="Q154">
        <f>IF(M154=0,0,VLOOKUP(M154,'aa codes'!$A$1:'aa codes'!$B$21,2))</f>
        <v>0</v>
      </c>
      <c r="R154">
        <f>IF(N154=0,0,VLOOKUP(N154,'aa codes'!$A$1:'aa codes'!$B$21,2))</f>
        <v>0</v>
      </c>
      <c r="S154" s="1">
        <v>3.5398230100000001E-3</v>
      </c>
      <c r="T154" s="1">
        <v>1.3698630099999999E-2</v>
      </c>
    </row>
    <row r="155" spans="1:20">
      <c r="A155">
        <v>9</v>
      </c>
      <c r="B155">
        <v>135785522</v>
      </c>
      <c r="C155" t="str">
        <f t="shared" si="6"/>
        <v>9:135785522</v>
      </c>
      <c r="D155">
        <v>3</v>
      </c>
      <c r="E155" s="1">
        <v>1.5845070400000001E-2</v>
      </c>
      <c r="F155">
        <v>1</v>
      </c>
      <c r="G155">
        <v>2</v>
      </c>
      <c r="H155" s="4">
        <v>0</v>
      </c>
      <c r="I155">
        <v>12</v>
      </c>
      <c r="J155">
        <v>436</v>
      </c>
      <c r="K155">
        <v>0</v>
      </c>
      <c r="L155">
        <v>0</v>
      </c>
      <c r="M155">
        <v>0</v>
      </c>
      <c r="N155">
        <v>0</v>
      </c>
      <c r="O155" t="str">
        <f t="shared" si="7"/>
        <v>C</v>
      </c>
      <c r="P155" t="str">
        <f t="shared" si="8"/>
        <v>A</v>
      </c>
      <c r="Q155">
        <f>IF(M155=0,0,VLOOKUP(M155,'aa codes'!$A$1:'aa codes'!$B$21,2))</f>
        <v>0</v>
      </c>
      <c r="R155">
        <f>IF(N155=0,0,VLOOKUP(N155,'aa codes'!$A$1:'aa codes'!$B$21,2))</f>
        <v>0</v>
      </c>
      <c r="S155" s="1">
        <v>1.5845070400000001E-2</v>
      </c>
      <c r="T155" s="1">
        <v>1.55902004E-2</v>
      </c>
    </row>
    <row r="156" spans="1:20">
      <c r="A156">
        <v>9</v>
      </c>
      <c r="B156">
        <v>135785523</v>
      </c>
      <c r="C156" t="str">
        <f t="shared" si="6"/>
        <v>9:135785523</v>
      </c>
      <c r="D156">
        <v>3</v>
      </c>
      <c r="E156" s="1">
        <v>2.3219814200000001E-2</v>
      </c>
      <c r="F156">
        <v>1</v>
      </c>
      <c r="G156">
        <v>2</v>
      </c>
      <c r="H156" s="4">
        <v>0</v>
      </c>
      <c r="I156">
        <v>12</v>
      </c>
      <c r="J156">
        <v>435</v>
      </c>
      <c r="K156">
        <v>0</v>
      </c>
      <c r="L156">
        <v>0</v>
      </c>
      <c r="M156">
        <v>0</v>
      </c>
      <c r="N156">
        <v>0</v>
      </c>
      <c r="O156" t="str">
        <f t="shared" si="7"/>
        <v>C</v>
      </c>
      <c r="P156" t="str">
        <f t="shared" si="8"/>
        <v>A</v>
      </c>
      <c r="Q156">
        <f>IF(M156=0,0,VLOOKUP(M156,'aa codes'!$A$1:'aa codes'!$B$21,2))</f>
        <v>0</v>
      </c>
      <c r="R156">
        <f>IF(N156=0,0,VLOOKUP(N156,'aa codes'!$A$1:'aa codes'!$B$21,2))</f>
        <v>0</v>
      </c>
      <c r="S156" s="1">
        <v>1.4814814799999999E-2</v>
      </c>
      <c r="T156" s="1">
        <v>2.3219814200000001E-2</v>
      </c>
    </row>
    <row r="157" spans="1:20">
      <c r="A157">
        <v>9</v>
      </c>
      <c r="B157">
        <v>135785524</v>
      </c>
      <c r="C157" t="str">
        <f t="shared" si="6"/>
        <v>9:135785524</v>
      </c>
      <c r="D157">
        <v>1</v>
      </c>
      <c r="E157" s="1">
        <v>1.45631068E-2</v>
      </c>
      <c r="F157">
        <v>3</v>
      </c>
      <c r="G157">
        <v>2</v>
      </c>
      <c r="H157" s="4">
        <v>0</v>
      </c>
      <c r="I157">
        <v>12</v>
      </c>
      <c r="J157">
        <v>434</v>
      </c>
      <c r="K157">
        <v>0</v>
      </c>
      <c r="L157">
        <v>0</v>
      </c>
      <c r="M157">
        <v>0</v>
      </c>
      <c r="N157">
        <v>0</v>
      </c>
      <c r="O157" t="str">
        <f t="shared" si="7"/>
        <v>A</v>
      </c>
      <c r="P157" t="str">
        <f t="shared" si="8"/>
        <v>C</v>
      </c>
      <c r="Q157">
        <f>IF(M157=0,0,VLOOKUP(M157,'aa codes'!$A$1:'aa codes'!$B$21,2))</f>
        <v>0</v>
      </c>
      <c r="R157">
        <f>IF(N157=0,0,VLOOKUP(N157,'aa codes'!$A$1:'aa codes'!$B$21,2))</f>
        <v>0</v>
      </c>
      <c r="S157" s="1">
        <v>1.1605415900000001E-2</v>
      </c>
      <c r="T157" s="1">
        <v>1.45631068E-2</v>
      </c>
    </row>
    <row r="158" spans="1:20">
      <c r="A158">
        <v>9</v>
      </c>
      <c r="B158">
        <v>135785537</v>
      </c>
      <c r="C158" t="str">
        <f t="shared" si="6"/>
        <v>9:135785537</v>
      </c>
      <c r="D158">
        <v>1</v>
      </c>
      <c r="E158" s="1">
        <v>8.7412587400000005E-3</v>
      </c>
      <c r="F158">
        <v>3</v>
      </c>
      <c r="G158">
        <v>1</v>
      </c>
      <c r="H158" s="4">
        <v>0</v>
      </c>
      <c r="I158">
        <v>12</v>
      </c>
      <c r="J158">
        <v>421</v>
      </c>
      <c r="K158">
        <v>0</v>
      </c>
      <c r="L158">
        <v>0</v>
      </c>
      <c r="M158">
        <v>0</v>
      </c>
      <c r="N158">
        <v>0</v>
      </c>
      <c r="O158" t="str">
        <f t="shared" si="7"/>
        <v>A</v>
      </c>
      <c r="P158" t="str">
        <f t="shared" si="8"/>
        <v>C</v>
      </c>
      <c r="Q158">
        <f>IF(M158=0,0,VLOOKUP(M158,'aa codes'!$A$1:'aa codes'!$B$21,2))</f>
        <v>0</v>
      </c>
      <c r="R158">
        <f>IF(N158=0,0,VLOOKUP(N158,'aa codes'!$A$1:'aa codes'!$B$21,2))</f>
        <v>0</v>
      </c>
      <c r="S158" s="1">
        <v>8.7412587400000005E-3</v>
      </c>
      <c r="T158" s="1">
        <v>2.25225225E-3</v>
      </c>
    </row>
    <row r="159" spans="1:20">
      <c r="A159">
        <v>9</v>
      </c>
      <c r="B159">
        <v>135785538</v>
      </c>
      <c r="C159" t="str">
        <f t="shared" si="6"/>
        <v>9:135785538</v>
      </c>
      <c r="D159">
        <v>3</v>
      </c>
      <c r="E159" s="1">
        <v>7.2859745000000004E-3</v>
      </c>
      <c r="F159">
        <v>4</v>
      </c>
      <c r="G159">
        <v>2</v>
      </c>
      <c r="H159" s="4">
        <v>0</v>
      </c>
      <c r="I159">
        <v>12</v>
      </c>
      <c r="J159">
        <v>420</v>
      </c>
      <c r="K159">
        <v>0</v>
      </c>
      <c r="L159">
        <v>0</v>
      </c>
      <c r="M159">
        <v>0</v>
      </c>
      <c r="N159">
        <v>0</v>
      </c>
      <c r="O159" t="str">
        <f t="shared" si="7"/>
        <v>C</v>
      </c>
      <c r="P159" t="str">
        <f t="shared" si="8"/>
        <v>T</v>
      </c>
      <c r="Q159">
        <f>IF(M159=0,0,VLOOKUP(M159,'aa codes'!$A$1:'aa codes'!$B$21,2))</f>
        <v>0</v>
      </c>
      <c r="R159">
        <f>IF(N159=0,0,VLOOKUP(N159,'aa codes'!$A$1:'aa codes'!$B$21,2))</f>
        <v>0</v>
      </c>
      <c r="S159" s="1">
        <v>7.2859745000000004E-3</v>
      </c>
      <c r="T159" s="1">
        <v>6.9444444400000001E-3</v>
      </c>
    </row>
    <row r="160" spans="1:20">
      <c r="A160">
        <v>9</v>
      </c>
      <c r="B160">
        <v>135785539</v>
      </c>
      <c r="C160" t="str">
        <f t="shared" si="6"/>
        <v>9:135785539</v>
      </c>
      <c r="D160">
        <v>4</v>
      </c>
      <c r="E160" s="1">
        <v>6.8965517199999996E-3</v>
      </c>
      <c r="F160">
        <v>3</v>
      </c>
      <c r="G160">
        <v>2</v>
      </c>
      <c r="H160" s="4">
        <v>0</v>
      </c>
      <c r="I160">
        <v>12</v>
      </c>
      <c r="J160">
        <v>419</v>
      </c>
      <c r="K160">
        <v>0</v>
      </c>
      <c r="L160">
        <v>0</v>
      </c>
      <c r="M160">
        <v>0</v>
      </c>
      <c r="N160">
        <v>0</v>
      </c>
      <c r="O160" t="str">
        <f t="shared" si="7"/>
        <v>T</v>
      </c>
      <c r="P160" t="str">
        <f t="shared" si="8"/>
        <v>C</v>
      </c>
      <c r="Q160">
        <f>IF(M160=0,0,VLOOKUP(M160,'aa codes'!$A$1:'aa codes'!$B$21,2))</f>
        <v>0</v>
      </c>
      <c r="R160">
        <f>IF(N160=0,0,VLOOKUP(N160,'aa codes'!$A$1:'aa codes'!$B$21,2))</f>
        <v>0</v>
      </c>
      <c r="S160" s="1">
        <v>5.2816901399999998E-3</v>
      </c>
      <c r="T160" s="1">
        <v>6.8965517199999996E-3</v>
      </c>
    </row>
    <row r="161" spans="1:20">
      <c r="A161">
        <v>9</v>
      </c>
      <c r="B161">
        <v>135785638</v>
      </c>
      <c r="C161" t="str">
        <f t="shared" si="6"/>
        <v>9:135785638</v>
      </c>
      <c r="D161">
        <v>4</v>
      </c>
      <c r="E161" s="1">
        <v>6.4239828699999999E-3</v>
      </c>
      <c r="F161">
        <v>1</v>
      </c>
      <c r="G161">
        <v>2</v>
      </c>
      <c r="H161" s="4">
        <v>0</v>
      </c>
      <c r="I161">
        <v>12</v>
      </c>
      <c r="J161">
        <v>320</v>
      </c>
      <c r="K161">
        <v>0</v>
      </c>
      <c r="L161">
        <v>0</v>
      </c>
      <c r="M161">
        <v>0</v>
      </c>
      <c r="N161">
        <v>0</v>
      </c>
      <c r="O161" t="str">
        <f t="shared" si="7"/>
        <v>T</v>
      </c>
      <c r="P161" t="str">
        <f t="shared" si="8"/>
        <v>A</v>
      </c>
      <c r="Q161">
        <f>IF(M161=0,0,VLOOKUP(M161,'aa codes'!$A$1:'aa codes'!$B$21,2))</f>
        <v>0</v>
      </c>
      <c r="R161">
        <f>IF(N161=0,0,VLOOKUP(N161,'aa codes'!$A$1:'aa codes'!$B$21,2))</f>
        <v>0</v>
      </c>
      <c r="S161" s="1">
        <v>6.4239828699999999E-3</v>
      </c>
      <c r="T161" s="1">
        <v>6.0240963899999998E-3</v>
      </c>
    </row>
    <row r="162" spans="1:20">
      <c r="A162">
        <v>9</v>
      </c>
      <c r="B162">
        <v>135785657</v>
      </c>
      <c r="C162" t="str">
        <f t="shared" si="6"/>
        <v>9:135785657</v>
      </c>
      <c r="D162">
        <v>3</v>
      </c>
      <c r="E162" s="1">
        <v>6.0790273600000002E-3</v>
      </c>
      <c r="F162">
        <v>2</v>
      </c>
      <c r="G162">
        <v>1</v>
      </c>
      <c r="H162" s="4">
        <v>0</v>
      </c>
      <c r="I162">
        <v>12</v>
      </c>
      <c r="J162">
        <v>301</v>
      </c>
      <c r="K162">
        <v>0</v>
      </c>
      <c r="L162">
        <v>0</v>
      </c>
      <c r="M162">
        <v>0</v>
      </c>
      <c r="N162">
        <v>0</v>
      </c>
      <c r="O162" t="str">
        <f t="shared" si="7"/>
        <v>C</v>
      </c>
      <c r="P162" t="str">
        <f t="shared" si="8"/>
        <v>G</v>
      </c>
      <c r="Q162">
        <f>IF(M162=0,0,VLOOKUP(M162,'aa codes'!$A$1:'aa codes'!$B$21,2))</f>
        <v>0</v>
      </c>
      <c r="R162">
        <f>IF(N162=0,0,VLOOKUP(N162,'aa codes'!$A$1:'aa codes'!$B$21,2))</f>
        <v>0</v>
      </c>
      <c r="S162" s="1">
        <v>0</v>
      </c>
      <c r="T162" s="1">
        <v>6.0790273600000002E-3</v>
      </c>
    </row>
    <row r="163" spans="1:20">
      <c r="A163">
        <v>9</v>
      </c>
      <c r="B163">
        <v>135785659</v>
      </c>
      <c r="C163" t="str">
        <f t="shared" si="6"/>
        <v>9:135785659</v>
      </c>
      <c r="D163">
        <v>3</v>
      </c>
      <c r="E163" s="1">
        <v>1.0438413400000001E-2</v>
      </c>
      <c r="F163">
        <v>2</v>
      </c>
      <c r="G163">
        <v>1</v>
      </c>
      <c r="H163" s="4">
        <v>0</v>
      </c>
      <c r="I163">
        <v>12</v>
      </c>
      <c r="J163">
        <v>299</v>
      </c>
      <c r="K163">
        <v>0</v>
      </c>
      <c r="L163">
        <v>0</v>
      </c>
      <c r="M163">
        <v>0</v>
      </c>
      <c r="N163">
        <v>0</v>
      </c>
      <c r="O163" t="str">
        <f t="shared" si="7"/>
        <v>C</v>
      </c>
      <c r="P163" t="str">
        <f t="shared" si="8"/>
        <v>G</v>
      </c>
      <c r="Q163">
        <f>IF(M163=0,0,VLOOKUP(M163,'aa codes'!$A$1:'aa codes'!$B$21,2))</f>
        <v>0</v>
      </c>
      <c r="R163">
        <f>IF(N163=0,0,VLOOKUP(N163,'aa codes'!$A$1:'aa codes'!$B$21,2))</f>
        <v>0</v>
      </c>
      <c r="S163" s="1">
        <v>1.0438413400000001E-2</v>
      </c>
      <c r="T163" s="1">
        <v>0</v>
      </c>
    </row>
    <row r="164" spans="1:20">
      <c r="A164">
        <v>9</v>
      </c>
      <c r="B164">
        <v>135785671</v>
      </c>
      <c r="C164" t="str">
        <f t="shared" si="6"/>
        <v>9:135785671</v>
      </c>
      <c r="D164">
        <v>2</v>
      </c>
      <c r="E164" s="1">
        <v>6.7796610200000001E-3</v>
      </c>
      <c r="F164">
        <v>1</v>
      </c>
      <c r="G164">
        <v>2</v>
      </c>
      <c r="H164" s="4">
        <v>0</v>
      </c>
      <c r="I164">
        <v>12</v>
      </c>
      <c r="J164">
        <v>287</v>
      </c>
      <c r="K164">
        <v>0</v>
      </c>
      <c r="L164">
        <v>0</v>
      </c>
      <c r="M164">
        <v>0</v>
      </c>
      <c r="N164">
        <v>0</v>
      </c>
      <c r="O164" t="str">
        <f t="shared" si="7"/>
        <v>G</v>
      </c>
      <c r="P164" t="str">
        <f t="shared" si="8"/>
        <v>A</v>
      </c>
      <c r="Q164">
        <f>IF(M164=0,0,VLOOKUP(M164,'aa codes'!$A$1:'aa codes'!$B$21,2))</f>
        <v>0</v>
      </c>
      <c r="R164">
        <f>IF(N164=0,0,VLOOKUP(N164,'aa codes'!$A$1:'aa codes'!$B$21,2))</f>
        <v>0</v>
      </c>
      <c r="S164" s="1">
        <v>6.6815144800000002E-3</v>
      </c>
      <c r="T164" s="1">
        <v>6.7796610200000001E-3</v>
      </c>
    </row>
    <row r="165" spans="1:20">
      <c r="A165">
        <v>9</v>
      </c>
      <c r="B165">
        <v>135785675</v>
      </c>
      <c r="C165" t="str">
        <f t="shared" si="6"/>
        <v>9:135785675</v>
      </c>
      <c r="D165">
        <v>1</v>
      </c>
      <c r="E165" s="1">
        <v>5.98802395E-3</v>
      </c>
      <c r="F165">
        <v>2</v>
      </c>
      <c r="G165">
        <v>1</v>
      </c>
      <c r="H165" s="4">
        <v>0</v>
      </c>
      <c r="I165">
        <v>12</v>
      </c>
      <c r="J165">
        <v>283</v>
      </c>
      <c r="K165">
        <v>0</v>
      </c>
      <c r="L165">
        <v>0</v>
      </c>
      <c r="M165">
        <v>0</v>
      </c>
      <c r="N165">
        <v>0</v>
      </c>
      <c r="O165" t="str">
        <f t="shared" si="7"/>
        <v>A</v>
      </c>
      <c r="P165" t="str">
        <f t="shared" si="8"/>
        <v>G</v>
      </c>
      <c r="Q165">
        <f>IF(M165=0,0,VLOOKUP(M165,'aa codes'!$A$1:'aa codes'!$B$21,2))</f>
        <v>0</v>
      </c>
      <c r="R165">
        <f>IF(N165=0,0,VLOOKUP(N165,'aa codes'!$A$1:'aa codes'!$B$21,2))</f>
        <v>0</v>
      </c>
      <c r="S165" s="1">
        <v>3.8910505799999999E-3</v>
      </c>
      <c r="T165" s="1">
        <v>5.98802395E-3</v>
      </c>
    </row>
    <row r="166" spans="1:20">
      <c r="A166">
        <v>9</v>
      </c>
      <c r="B166">
        <v>135785677</v>
      </c>
      <c r="C166" t="str">
        <f t="shared" si="6"/>
        <v>9:135785677</v>
      </c>
      <c r="D166">
        <v>2</v>
      </c>
      <c r="E166" s="1">
        <v>1.76211454E-2</v>
      </c>
      <c r="F166">
        <v>1</v>
      </c>
      <c r="G166">
        <v>2</v>
      </c>
      <c r="H166" s="4">
        <v>0</v>
      </c>
      <c r="I166">
        <v>12</v>
      </c>
      <c r="J166">
        <v>281</v>
      </c>
      <c r="K166">
        <v>0</v>
      </c>
      <c r="L166">
        <v>0</v>
      </c>
      <c r="M166">
        <v>0</v>
      </c>
      <c r="N166">
        <v>0</v>
      </c>
      <c r="O166" t="str">
        <f t="shared" si="7"/>
        <v>G</v>
      </c>
      <c r="P166" t="str">
        <f t="shared" si="8"/>
        <v>A</v>
      </c>
      <c r="Q166">
        <f>IF(M166=0,0,VLOOKUP(M166,'aa codes'!$A$1:'aa codes'!$B$21,2))</f>
        <v>0</v>
      </c>
      <c r="R166">
        <f>IF(N166=0,0,VLOOKUP(N166,'aa codes'!$A$1:'aa codes'!$B$21,2))</f>
        <v>0</v>
      </c>
      <c r="S166" s="1">
        <v>1.76211454E-2</v>
      </c>
      <c r="T166" s="1">
        <v>1.71232877E-2</v>
      </c>
    </row>
    <row r="167" spans="1:20">
      <c r="A167">
        <v>9</v>
      </c>
      <c r="B167">
        <v>135785680</v>
      </c>
      <c r="C167" t="str">
        <f t="shared" si="6"/>
        <v>9:135785680</v>
      </c>
      <c r="D167">
        <v>3</v>
      </c>
      <c r="E167" s="1">
        <v>5.4446460999999996E-3</v>
      </c>
      <c r="F167">
        <v>4</v>
      </c>
      <c r="G167">
        <v>1</v>
      </c>
      <c r="H167" s="4">
        <v>0</v>
      </c>
      <c r="I167">
        <v>12</v>
      </c>
      <c r="J167">
        <v>278</v>
      </c>
      <c r="K167">
        <v>0</v>
      </c>
      <c r="L167">
        <v>0</v>
      </c>
      <c r="M167">
        <v>0</v>
      </c>
      <c r="N167">
        <v>0</v>
      </c>
      <c r="O167" t="str">
        <f t="shared" si="7"/>
        <v>C</v>
      </c>
      <c r="P167" t="str">
        <f t="shared" si="8"/>
        <v>T</v>
      </c>
      <c r="Q167">
        <f>IF(M167=0,0,VLOOKUP(M167,'aa codes'!$A$1:'aa codes'!$B$21,2))</f>
        <v>0</v>
      </c>
      <c r="R167">
        <f>IF(N167=0,0,VLOOKUP(N167,'aa codes'!$A$1:'aa codes'!$B$21,2))</f>
        <v>0</v>
      </c>
      <c r="S167" s="1">
        <v>5.4446460999999996E-3</v>
      </c>
      <c r="T167" s="1">
        <v>2.7397260299999999E-3</v>
      </c>
    </row>
    <row r="168" spans="1:20">
      <c r="A168">
        <v>9</v>
      </c>
      <c r="B168">
        <v>135785682</v>
      </c>
      <c r="C168" t="str">
        <f t="shared" si="6"/>
        <v>9:135785682</v>
      </c>
      <c r="D168">
        <v>4</v>
      </c>
      <c r="E168" s="1">
        <v>1.4314928399999999E-2</v>
      </c>
      <c r="F168">
        <v>3</v>
      </c>
      <c r="G168">
        <v>2</v>
      </c>
      <c r="H168" s="4">
        <v>0</v>
      </c>
      <c r="I168">
        <v>12</v>
      </c>
      <c r="J168">
        <v>276</v>
      </c>
      <c r="K168">
        <v>0</v>
      </c>
      <c r="L168">
        <v>0</v>
      </c>
      <c r="M168">
        <v>0</v>
      </c>
      <c r="N168">
        <v>0</v>
      </c>
      <c r="O168" t="str">
        <f t="shared" si="7"/>
        <v>T</v>
      </c>
      <c r="P168" t="str">
        <f t="shared" si="8"/>
        <v>C</v>
      </c>
      <c r="Q168">
        <f>IF(M168=0,0,VLOOKUP(M168,'aa codes'!$A$1:'aa codes'!$B$21,2))</f>
        <v>0</v>
      </c>
      <c r="R168">
        <f>IF(N168=0,0,VLOOKUP(N168,'aa codes'!$A$1:'aa codes'!$B$21,2))</f>
        <v>0</v>
      </c>
      <c r="S168" s="1">
        <v>1.4314928399999999E-2</v>
      </c>
      <c r="T168" s="1">
        <v>6.4724919100000002E-3</v>
      </c>
    </row>
    <row r="169" spans="1:20">
      <c r="A169">
        <v>9</v>
      </c>
      <c r="B169">
        <v>135785683</v>
      </c>
      <c r="C169" t="str">
        <f t="shared" si="6"/>
        <v>9:135785683</v>
      </c>
      <c r="D169">
        <v>2</v>
      </c>
      <c r="E169" s="1">
        <v>6.3965884899999997E-3</v>
      </c>
      <c r="F169">
        <v>4</v>
      </c>
      <c r="G169">
        <v>1</v>
      </c>
      <c r="H169" s="4">
        <v>0</v>
      </c>
      <c r="I169">
        <v>12</v>
      </c>
      <c r="J169">
        <v>275</v>
      </c>
      <c r="K169">
        <v>0</v>
      </c>
      <c r="L169">
        <v>0</v>
      </c>
      <c r="M169">
        <v>0</v>
      </c>
      <c r="N169">
        <v>0</v>
      </c>
      <c r="O169" t="str">
        <f t="shared" si="7"/>
        <v>G</v>
      </c>
      <c r="P169" t="str">
        <f t="shared" si="8"/>
        <v>T</v>
      </c>
      <c r="Q169">
        <f>IF(M169=0,0,VLOOKUP(M169,'aa codes'!$A$1:'aa codes'!$B$21,2))</f>
        <v>0</v>
      </c>
      <c r="R169">
        <f>IF(N169=0,0,VLOOKUP(N169,'aa codes'!$A$1:'aa codes'!$B$21,2))</f>
        <v>0</v>
      </c>
      <c r="S169" s="1">
        <v>6.3965884899999997E-3</v>
      </c>
      <c r="T169" s="1">
        <v>3.34448161E-3</v>
      </c>
    </row>
    <row r="170" spans="1:20">
      <c r="A170">
        <v>9</v>
      </c>
      <c r="B170">
        <v>135785686</v>
      </c>
      <c r="C170" t="str">
        <f t="shared" si="6"/>
        <v>9:135785686</v>
      </c>
      <c r="D170">
        <v>4</v>
      </c>
      <c r="E170" s="1">
        <v>1.6447368399999999E-2</v>
      </c>
      <c r="F170">
        <v>3</v>
      </c>
      <c r="G170">
        <v>2</v>
      </c>
      <c r="H170" s="4">
        <v>0</v>
      </c>
      <c r="I170">
        <v>12</v>
      </c>
      <c r="J170">
        <v>272</v>
      </c>
      <c r="K170">
        <v>0</v>
      </c>
      <c r="L170">
        <v>0</v>
      </c>
      <c r="M170">
        <v>0</v>
      </c>
      <c r="N170">
        <v>0</v>
      </c>
      <c r="O170" t="str">
        <f t="shared" si="7"/>
        <v>T</v>
      </c>
      <c r="P170" t="str">
        <f t="shared" si="8"/>
        <v>C</v>
      </c>
      <c r="Q170">
        <f>IF(M170=0,0,VLOOKUP(M170,'aa codes'!$A$1:'aa codes'!$B$21,2))</f>
        <v>0</v>
      </c>
      <c r="R170">
        <f>IF(N170=0,0,VLOOKUP(N170,'aa codes'!$A$1:'aa codes'!$B$21,2))</f>
        <v>0</v>
      </c>
      <c r="S170" s="1">
        <v>1.07296137E-2</v>
      </c>
      <c r="T170" s="1">
        <v>1.6447368399999999E-2</v>
      </c>
    </row>
    <row r="171" spans="1:20">
      <c r="A171">
        <v>9</v>
      </c>
      <c r="B171">
        <v>135785688</v>
      </c>
      <c r="C171" t="str">
        <f t="shared" si="6"/>
        <v>9:135785688</v>
      </c>
      <c r="D171">
        <v>3</v>
      </c>
      <c r="E171" s="1">
        <v>1.59027128E-2</v>
      </c>
      <c r="F171">
        <v>1</v>
      </c>
      <c r="G171">
        <v>2</v>
      </c>
      <c r="H171" s="4">
        <v>0</v>
      </c>
      <c r="I171">
        <v>12</v>
      </c>
      <c r="J171">
        <v>270</v>
      </c>
      <c r="K171">
        <v>0</v>
      </c>
      <c r="L171">
        <v>0</v>
      </c>
      <c r="M171">
        <v>0</v>
      </c>
      <c r="N171">
        <v>0</v>
      </c>
      <c r="O171" t="str">
        <f t="shared" si="7"/>
        <v>C</v>
      </c>
      <c r="P171" t="str">
        <f t="shared" si="8"/>
        <v>A</v>
      </c>
      <c r="Q171">
        <f>IF(M171=0,0,VLOOKUP(M171,'aa codes'!$A$1:'aa codes'!$B$21,2))</f>
        <v>0</v>
      </c>
      <c r="R171">
        <f>IF(N171=0,0,VLOOKUP(N171,'aa codes'!$A$1:'aa codes'!$B$21,2))</f>
        <v>0</v>
      </c>
      <c r="S171" s="1">
        <v>1.59027128E-2</v>
      </c>
      <c r="T171" s="1">
        <v>1.3836477999999999E-2</v>
      </c>
    </row>
    <row r="172" spans="1:20">
      <c r="A172">
        <v>9</v>
      </c>
      <c r="B172">
        <v>135785690</v>
      </c>
      <c r="C172" t="str">
        <f t="shared" si="6"/>
        <v>9:135785690</v>
      </c>
      <c r="D172">
        <v>1</v>
      </c>
      <c r="E172" s="1">
        <v>6.4935064900000006E-2</v>
      </c>
      <c r="F172">
        <v>3</v>
      </c>
      <c r="G172">
        <v>2</v>
      </c>
      <c r="H172" s="4">
        <v>0</v>
      </c>
      <c r="I172">
        <v>12</v>
      </c>
      <c r="J172">
        <v>268</v>
      </c>
      <c r="K172">
        <v>0</v>
      </c>
      <c r="L172">
        <v>0</v>
      </c>
      <c r="M172">
        <v>0</v>
      </c>
      <c r="N172">
        <v>0</v>
      </c>
      <c r="O172" t="str">
        <f t="shared" si="7"/>
        <v>A</v>
      </c>
      <c r="P172" t="str">
        <f t="shared" si="8"/>
        <v>C</v>
      </c>
      <c r="Q172">
        <f>IF(M172=0,0,VLOOKUP(M172,'aa codes'!$A$1:'aa codes'!$B$21,2))</f>
        <v>0</v>
      </c>
      <c r="R172">
        <f>IF(N172=0,0,VLOOKUP(N172,'aa codes'!$A$1:'aa codes'!$B$21,2))</f>
        <v>0</v>
      </c>
      <c r="S172" s="1">
        <v>2.2813688200000001E-2</v>
      </c>
      <c r="T172" s="1">
        <v>6.4935064900000006E-2</v>
      </c>
    </row>
    <row r="173" spans="1:20">
      <c r="A173">
        <v>9</v>
      </c>
      <c r="B173">
        <v>135785691</v>
      </c>
      <c r="C173" t="str">
        <f t="shared" si="6"/>
        <v>9:135785691</v>
      </c>
      <c r="D173">
        <v>1</v>
      </c>
      <c r="E173" s="1">
        <v>3.1890660600000002E-2</v>
      </c>
      <c r="F173">
        <v>3</v>
      </c>
      <c r="G173">
        <v>2</v>
      </c>
      <c r="H173" s="4">
        <v>0</v>
      </c>
      <c r="I173">
        <v>12</v>
      </c>
      <c r="J173">
        <v>267</v>
      </c>
      <c r="K173">
        <v>0</v>
      </c>
      <c r="L173">
        <v>0</v>
      </c>
      <c r="M173">
        <v>0</v>
      </c>
      <c r="N173">
        <v>0</v>
      </c>
      <c r="O173" t="str">
        <f t="shared" si="7"/>
        <v>A</v>
      </c>
      <c r="P173" t="str">
        <f t="shared" si="8"/>
        <v>C</v>
      </c>
      <c r="Q173">
        <f>IF(M173=0,0,VLOOKUP(M173,'aa codes'!$A$1:'aa codes'!$B$21,2))</f>
        <v>0</v>
      </c>
      <c r="R173">
        <f>IF(N173=0,0,VLOOKUP(N173,'aa codes'!$A$1:'aa codes'!$B$21,2))</f>
        <v>0</v>
      </c>
      <c r="S173" s="1">
        <v>6.6115702499999996E-3</v>
      </c>
      <c r="T173" s="1">
        <v>3.1890660600000002E-2</v>
      </c>
    </row>
    <row r="174" spans="1:20">
      <c r="A174">
        <v>9</v>
      </c>
      <c r="B174">
        <v>135785692</v>
      </c>
      <c r="C174" t="str">
        <f t="shared" si="6"/>
        <v>9:135785692</v>
      </c>
      <c r="D174">
        <v>1</v>
      </c>
      <c r="E174" s="1">
        <v>1.6877637099999999E-2</v>
      </c>
      <c r="F174">
        <v>3</v>
      </c>
      <c r="G174">
        <v>1</v>
      </c>
      <c r="H174" s="4">
        <v>0</v>
      </c>
      <c r="I174">
        <v>12</v>
      </c>
      <c r="J174">
        <v>266</v>
      </c>
      <c r="K174">
        <v>0</v>
      </c>
      <c r="L174">
        <v>0</v>
      </c>
      <c r="M174">
        <v>0</v>
      </c>
      <c r="N174">
        <v>0</v>
      </c>
      <c r="O174" t="str">
        <f t="shared" si="7"/>
        <v>A</v>
      </c>
      <c r="P174" t="str">
        <f t="shared" si="8"/>
        <v>C</v>
      </c>
      <c r="Q174">
        <f>IF(M174=0,0,VLOOKUP(M174,'aa codes'!$A$1:'aa codes'!$B$21,2))</f>
        <v>0</v>
      </c>
      <c r="R174">
        <f>IF(N174=0,0,VLOOKUP(N174,'aa codes'!$A$1:'aa codes'!$B$21,2))</f>
        <v>0</v>
      </c>
      <c r="S174" s="1">
        <v>3.0674846600000001E-3</v>
      </c>
      <c r="T174" s="1">
        <v>1.6877637099999999E-2</v>
      </c>
    </row>
    <row r="175" spans="1:20">
      <c r="A175">
        <v>9</v>
      </c>
      <c r="B175">
        <v>135785693</v>
      </c>
      <c r="C175" t="str">
        <f t="shared" si="6"/>
        <v>9:135785693</v>
      </c>
      <c r="D175">
        <v>1</v>
      </c>
      <c r="E175" s="1">
        <v>8.2304526699999991E-3</v>
      </c>
      <c r="F175">
        <v>3</v>
      </c>
      <c r="G175">
        <v>1</v>
      </c>
      <c r="H175" s="4">
        <v>0</v>
      </c>
      <c r="I175">
        <v>12</v>
      </c>
      <c r="J175">
        <v>265</v>
      </c>
      <c r="K175">
        <v>0</v>
      </c>
      <c r="L175">
        <v>0</v>
      </c>
      <c r="M175">
        <v>0</v>
      </c>
      <c r="N175">
        <v>0</v>
      </c>
      <c r="O175" t="str">
        <f t="shared" si="7"/>
        <v>A</v>
      </c>
      <c r="P175" t="str">
        <f t="shared" si="8"/>
        <v>C</v>
      </c>
      <c r="Q175">
        <f>IF(M175=0,0,VLOOKUP(M175,'aa codes'!$A$1:'aa codes'!$B$21,2))</f>
        <v>0</v>
      </c>
      <c r="R175">
        <f>IF(N175=0,0,VLOOKUP(N175,'aa codes'!$A$1:'aa codes'!$B$21,2))</f>
        <v>0</v>
      </c>
      <c r="S175" s="1">
        <v>2.9027576199999999E-3</v>
      </c>
      <c r="T175" s="1">
        <v>8.2304526699999991E-3</v>
      </c>
    </row>
    <row r="176" spans="1:20">
      <c r="A176">
        <v>9</v>
      </c>
      <c r="B176">
        <v>135785707</v>
      </c>
      <c r="C176" t="str">
        <f t="shared" si="6"/>
        <v>9:135785707</v>
      </c>
      <c r="D176">
        <v>1</v>
      </c>
      <c r="E176" s="1">
        <v>6.0975609799999997E-3</v>
      </c>
      <c r="F176">
        <v>4</v>
      </c>
      <c r="G176">
        <v>1</v>
      </c>
      <c r="H176" s="4">
        <v>0</v>
      </c>
      <c r="I176">
        <v>12</v>
      </c>
      <c r="J176">
        <v>251</v>
      </c>
      <c r="K176">
        <v>0</v>
      </c>
      <c r="L176">
        <v>0</v>
      </c>
      <c r="M176">
        <v>0</v>
      </c>
      <c r="N176">
        <v>0</v>
      </c>
      <c r="O176" t="str">
        <f t="shared" si="7"/>
        <v>A</v>
      </c>
      <c r="P176" t="str">
        <f t="shared" si="8"/>
        <v>T</v>
      </c>
      <c r="Q176">
        <f>IF(M176=0,0,VLOOKUP(M176,'aa codes'!$A$1:'aa codes'!$B$21,2))</f>
        <v>0</v>
      </c>
      <c r="R176">
        <f>IF(N176=0,0,VLOOKUP(N176,'aa codes'!$A$1:'aa codes'!$B$21,2))</f>
        <v>0</v>
      </c>
      <c r="S176" s="1">
        <v>2.57400257E-3</v>
      </c>
      <c r="T176" s="1">
        <v>6.0975609799999997E-3</v>
      </c>
    </row>
    <row r="177" spans="1:20">
      <c r="A177">
        <v>9</v>
      </c>
      <c r="B177">
        <v>135785711</v>
      </c>
      <c r="C177" t="str">
        <f t="shared" si="6"/>
        <v>9:135785711</v>
      </c>
      <c r="D177">
        <v>4</v>
      </c>
      <c r="E177" s="1">
        <v>2.7164685899999999E-2</v>
      </c>
      <c r="F177">
        <v>1</v>
      </c>
      <c r="G177">
        <v>2</v>
      </c>
      <c r="H177" s="4">
        <v>0</v>
      </c>
      <c r="I177">
        <v>12</v>
      </c>
      <c r="J177">
        <v>247</v>
      </c>
      <c r="K177">
        <v>0</v>
      </c>
      <c r="L177">
        <v>0</v>
      </c>
      <c r="M177">
        <v>0</v>
      </c>
      <c r="N177">
        <v>0</v>
      </c>
      <c r="O177" t="str">
        <f t="shared" si="7"/>
        <v>T</v>
      </c>
      <c r="P177" t="str">
        <f t="shared" si="8"/>
        <v>A</v>
      </c>
      <c r="Q177">
        <f>IF(M177=0,0,VLOOKUP(M177,'aa codes'!$A$1:'aa codes'!$B$21,2))</f>
        <v>0</v>
      </c>
      <c r="R177">
        <f>IF(N177=0,0,VLOOKUP(N177,'aa codes'!$A$1:'aa codes'!$B$21,2))</f>
        <v>0</v>
      </c>
      <c r="S177" s="1">
        <v>2.7164685899999999E-2</v>
      </c>
      <c r="T177" s="1">
        <v>1.04438642E-2</v>
      </c>
    </row>
    <row r="178" spans="1:20">
      <c r="A178">
        <v>9</v>
      </c>
      <c r="B178">
        <v>135785712</v>
      </c>
      <c r="C178" t="str">
        <f t="shared" si="6"/>
        <v>9:135785712</v>
      </c>
      <c r="D178">
        <v>3</v>
      </c>
      <c r="E178" s="1">
        <v>1.12721417E-2</v>
      </c>
      <c r="F178">
        <v>1</v>
      </c>
      <c r="G178">
        <v>1</v>
      </c>
      <c r="H178" s="4">
        <v>0</v>
      </c>
      <c r="I178">
        <v>12</v>
      </c>
      <c r="J178">
        <v>246</v>
      </c>
      <c r="K178">
        <v>0</v>
      </c>
      <c r="L178">
        <v>0</v>
      </c>
      <c r="M178">
        <v>0</v>
      </c>
      <c r="N178">
        <v>0</v>
      </c>
      <c r="O178" t="str">
        <f t="shared" si="7"/>
        <v>C</v>
      </c>
      <c r="P178" t="str">
        <f t="shared" si="8"/>
        <v>A</v>
      </c>
      <c r="Q178">
        <f>IF(M178=0,0,VLOOKUP(M178,'aa codes'!$A$1:'aa codes'!$B$21,2))</f>
        <v>0</v>
      </c>
      <c r="R178">
        <f>IF(N178=0,0,VLOOKUP(N178,'aa codes'!$A$1:'aa codes'!$B$21,2))</f>
        <v>0</v>
      </c>
      <c r="S178" s="1">
        <v>1.12721417E-2</v>
      </c>
      <c r="T178" s="1">
        <v>2.6455026500000001E-3</v>
      </c>
    </row>
    <row r="179" spans="1:20">
      <c r="A179">
        <v>9</v>
      </c>
      <c r="B179">
        <v>135785716</v>
      </c>
      <c r="C179" t="str">
        <f t="shared" si="6"/>
        <v>9:135785716</v>
      </c>
      <c r="D179">
        <v>1</v>
      </c>
      <c r="E179" s="1">
        <v>9.1743119299999999E-3</v>
      </c>
      <c r="F179">
        <v>2</v>
      </c>
      <c r="G179">
        <v>1</v>
      </c>
      <c r="H179" s="4">
        <v>0</v>
      </c>
      <c r="I179">
        <v>12</v>
      </c>
      <c r="J179">
        <v>242</v>
      </c>
      <c r="K179">
        <v>0</v>
      </c>
      <c r="L179">
        <v>0</v>
      </c>
      <c r="M179">
        <v>0</v>
      </c>
      <c r="N179">
        <v>0</v>
      </c>
      <c r="O179" t="str">
        <f t="shared" si="7"/>
        <v>A</v>
      </c>
      <c r="P179" t="str">
        <f t="shared" si="8"/>
        <v>G</v>
      </c>
      <c r="Q179">
        <f>IF(M179=0,0,VLOOKUP(M179,'aa codes'!$A$1:'aa codes'!$B$21,2))</f>
        <v>0</v>
      </c>
      <c r="R179">
        <f>IF(N179=0,0,VLOOKUP(N179,'aa codes'!$A$1:'aa codes'!$B$21,2))</f>
        <v>0</v>
      </c>
      <c r="S179" s="1">
        <v>1.69491525E-3</v>
      </c>
      <c r="T179" s="1">
        <v>9.1743119299999999E-3</v>
      </c>
    </row>
    <row r="180" spans="1:20">
      <c r="A180">
        <v>9</v>
      </c>
      <c r="B180">
        <v>135785718</v>
      </c>
      <c r="C180" t="str">
        <f t="shared" si="6"/>
        <v>9:135785718</v>
      </c>
      <c r="D180">
        <v>1</v>
      </c>
      <c r="E180" s="1">
        <v>5.97014925E-3</v>
      </c>
      <c r="F180">
        <v>2</v>
      </c>
      <c r="G180">
        <v>1</v>
      </c>
      <c r="H180" s="4">
        <v>0</v>
      </c>
      <c r="I180">
        <v>12</v>
      </c>
      <c r="J180">
        <v>240</v>
      </c>
      <c r="K180">
        <v>0</v>
      </c>
      <c r="L180">
        <v>0</v>
      </c>
      <c r="M180">
        <v>0</v>
      </c>
      <c r="N180">
        <v>0</v>
      </c>
      <c r="O180" t="str">
        <f t="shared" si="7"/>
        <v>A</v>
      </c>
      <c r="P180" t="str">
        <f t="shared" si="8"/>
        <v>G</v>
      </c>
      <c r="Q180">
        <f>IF(M180=0,0,VLOOKUP(M180,'aa codes'!$A$1:'aa codes'!$B$21,2))</f>
        <v>0</v>
      </c>
      <c r="R180">
        <f>IF(N180=0,0,VLOOKUP(N180,'aa codes'!$A$1:'aa codes'!$B$21,2))</f>
        <v>0</v>
      </c>
      <c r="S180" s="1">
        <v>1.6077170400000001E-3</v>
      </c>
      <c r="T180" s="1">
        <v>5.97014925E-3</v>
      </c>
    </row>
    <row r="181" spans="1:20">
      <c r="A181">
        <v>9</v>
      </c>
      <c r="B181">
        <v>135785720</v>
      </c>
      <c r="C181" t="str">
        <f t="shared" si="6"/>
        <v>9:135785720</v>
      </c>
      <c r="D181">
        <v>4</v>
      </c>
      <c r="E181" s="1">
        <v>7.3313783E-3</v>
      </c>
      <c r="F181">
        <v>1</v>
      </c>
      <c r="G181">
        <v>1</v>
      </c>
      <c r="H181" s="4">
        <v>0</v>
      </c>
      <c r="I181">
        <v>12</v>
      </c>
      <c r="J181">
        <v>238</v>
      </c>
      <c r="K181">
        <v>0</v>
      </c>
      <c r="L181">
        <v>0</v>
      </c>
      <c r="M181">
        <v>0</v>
      </c>
      <c r="N181">
        <v>0</v>
      </c>
      <c r="O181" t="str">
        <f t="shared" si="7"/>
        <v>T</v>
      </c>
      <c r="P181" t="str">
        <f t="shared" si="8"/>
        <v>A</v>
      </c>
      <c r="Q181">
        <f>IF(M181=0,0,VLOOKUP(M181,'aa codes'!$A$1:'aa codes'!$B$21,2))</f>
        <v>0</v>
      </c>
      <c r="R181">
        <f>IF(N181=0,0,VLOOKUP(N181,'aa codes'!$A$1:'aa codes'!$B$21,2))</f>
        <v>0</v>
      </c>
      <c r="S181" s="1">
        <v>7.3313783E-3</v>
      </c>
      <c r="T181" s="1">
        <v>0</v>
      </c>
    </row>
    <row r="182" spans="1:20">
      <c r="A182">
        <v>9</v>
      </c>
      <c r="B182">
        <v>135785731</v>
      </c>
      <c r="C182" t="str">
        <f t="shared" si="6"/>
        <v>9:135785731</v>
      </c>
      <c r="D182">
        <v>4</v>
      </c>
      <c r="E182" s="1">
        <v>5.9523809499999998E-3</v>
      </c>
      <c r="F182">
        <v>3</v>
      </c>
      <c r="G182">
        <v>1</v>
      </c>
      <c r="H182" s="4">
        <v>0</v>
      </c>
      <c r="I182">
        <v>12</v>
      </c>
      <c r="J182">
        <v>227</v>
      </c>
      <c r="K182">
        <v>0</v>
      </c>
      <c r="L182">
        <v>0</v>
      </c>
      <c r="M182">
        <v>0</v>
      </c>
      <c r="N182">
        <v>0</v>
      </c>
      <c r="O182" t="str">
        <f t="shared" si="7"/>
        <v>T</v>
      </c>
      <c r="P182" t="str">
        <f t="shared" si="8"/>
        <v>C</v>
      </c>
      <c r="Q182">
        <f>IF(M182=0,0,VLOOKUP(M182,'aa codes'!$A$1:'aa codes'!$B$21,2))</f>
        <v>0</v>
      </c>
      <c r="R182">
        <f>IF(N182=0,0,VLOOKUP(N182,'aa codes'!$A$1:'aa codes'!$B$21,2))</f>
        <v>0</v>
      </c>
      <c r="S182" s="1">
        <v>5.9523809499999998E-3</v>
      </c>
      <c r="T182" s="1">
        <v>4.1928721199999998E-3</v>
      </c>
    </row>
    <row r="183" spans="1:20">
      <c r="A183">
        <v>9</v>
      </c>
      <c r="B183">
        <v>135785734</v>
      </c>
      <c r="C183" t="str">
        <f t="shared" si="6"/>
        <v>9:135785734</v>
      </c>
      <c r="D183">
        <v>4</v>
      </c>
      <c r="E183" s="1">
        <v>6.3291139199999997E-3</v>
      </c>
      <c r="F183">
        <v>2</v>
      </c>
      <c r="G183">
        <v>1</v>
      </c>
      <c r="H183" s="4">
        <v>0</v>
      </c>
      <c r="I183">
        <v>12</v>
      </c>
      <c r="J183">
        <v>224</v>
      </c>
      <c r="K183">
        <v>0</v>
      </c>
      <c r="L183">
        <v>0</v>
      </c>
      <c r="M183">
        <v>0</v>
      </c>
      <c r="N183">
        <v>0</v>
      </c>
      <c r="O183" t="str">
        <f t="shared" si="7"/>
        <v>T</v>
      </c>
      <c r="P183" t="str">
        <f t="shared" si="8"/>
        <v>G</v>
      </c>
      <c r="Q183">
        <f>IF(M183=0,0,VLOOKUP(M183,'aa codes'!$A$1:'aa codes'!$B$21,2))</f>
        <v>0</v>
      </c>
      <c r="R183">
        <f>IF(N183=0,0,VLOOKUP(N183,'aa codes'!$A$1:'aa codes'!$B$21,2))</f>
        <v>0</v>
      </c>
      <c r="S183" s="1">
        <v>1.1918951100000001E-3</v>
      </c>
      <c r="T183" s="1">
        <v>6.3291139199999997E-3</v>
      </c>
    </row>
    <row r="184" spans="1:20">
      <c r="A184">
        <v>9</v>
      </c>
      <c r="B184">
        <v>135785745</v>
      </c>
      <c r="C184" t="str">
        <f t="shared" si="6"/>
        <v>9:135785745</v>
      </c>
      <c r="D184">
        <v>3</v>
      </c>
      <c r="E184" s="1">
        <v>8.7390761500000004E-3</v>
      </c>
      <c r="F184">
        <v>1</v>
      </c>
      <c r="G184">
        <v>2</v>
      </c>
      <c r="H184" s="4">
        <v>0</v>
      </c>
      <c r="I184">
        <v>12</v>
      </c>
      <c r="J184">
        <v>213</v>
      </c>
      <c r="K184">
        <v>0</v>
      </c>
      <c r="L184">
        <v>0</v>
      </c>
      <c r="M184">
        <v>0</v>
      </c>
      <c r="N184">
        <v>0</v>
      </c>
      <c r="O184" t="str">
        <f t="shared" si="7"/>
        <v>C</v>
      </c>
      <c r="P184" t="str">
        <f t="shared" si="8"/>
        <v>A</v>
      </c>
      <c r="Q184">
        <f>IF(M184=0,0,VLOOKUP(M184,'aa codes'!$A$1:'aa codes'!$B$21,2))</f>
        <v>0</v>
      </c>
      <c r="R184">
        <f>IF(N184=0,0,VLOOKUP(N184,'aa codes'!$A$1:'aa codes'!$B$21,2))</f>
        <v>0</v>
      </c>
      <c r="S184" s="1">
        <v>8.7390761500000004E-3</v>
      </c>
      <c r="T184" s="1">
        <v>6.0240963899999998E-3</v>
      </c>
    </row>
    <row r="185" spans="1:20">
      <c r="A185">
        <v>9</v>
      </c>
      <c r="B185">
        <v>135786962</v>
      </c>
      <c r="C185" t="str">
        <f t="shared" si="6"/>
        <v>9:135786962</v>
      </c>
      <c r="D185">
        <v>4</v>
      </c>
      <c r="E185" s="1">
        <v>2.6442307700000001E-2</v>
      </c>
      <c r="F185">
        <v>1</v>
      </c>
      <c r="G185">
        <v>2</v>
      </c>
      <c r="H185" s="4">
        <v>0</v>
      </c>
      <c r="I185">
        <v>10</v>
      </c>
      <c r="J185">
        <v>-7</v>
      </c>
      <c r="K185">
        <v>0</v>
      </c>
      <c r="L185">
        <v>0</v>
      </c>
      <c r="M185">
        <v>0</v>
      </c>
      <c r="N185">
        <v>0</v>
      </c>
      <c r="O185" t="str">
        <f t="shared" si="7"/>
        <v>T</v>
      </c>
      <c r="P185" t="str">
        <f t="shared" si="8"/>
        <v>A</v>
      </c>
      <c r="Q185">
        <f>IF(M185=0,0,VLOOKUP(M185,'aa codes'!$A$1:'aa codes'!$B$21,2))</f>
        <v>0</v>
      </c>
      <c r="R185">
        <f>IF(N185=0,0,VLOOKUP(N185,'aa codes'!$A$1:'aa codes'!$B$21,2))</f>
        <v>0</v>
      </c>
      <c r="S185" s="1">
        <v>2.4647887300000001E-2</v>
      </c>
      <c r="T185" s="1">
        <v>2.6442307700000001E-2</v>
      </c>
    </row>
    <row r="186" spans="1:20">
      <c r="A186">
        <v>9</v>
      </c>
      <c r="B186">
        <v>135786967</v>
      </c>
      <c r="C186" t="str">
        <f t="shared" si="6"/>
        <v>9:135786967</v>
      </c>
      <c r="D186">
        <v>2</v>
      </c>
      <c r="E186" s="1">
        <v>7.6142132E-3</v>
      </c>
      <c r="F186">
        <v>1</v>
      </c>
      <c r="G186">
        <v>1</v>
      </c>
      <c r="H186" s="4">
        <v>0</v>
      </c>
      <c r="I186">
        <v>10</v>
      </c>
      <c r="J186">
        <v>-12</v>
      </c>
      <c r="K186">
        <v>0</v>
      </c>
      <c r="L186">
        <v>0</v>
      </c>
      <c r="M186">
        <v>0</v>
      </c>
      <c r="N186">
        <v>0</v>
      </c>
      <c r="O186" t="str">
        <f t="shared" si="7"/>
        <v>G</v>
      </c>
      <c r="P186" t="str">
        <f t="shared" si="8"/>
        <v>A</v>
      </c>
      <c r="Q186">
        <f>IF(M186=0,0,VLOOKUP(M186,'aa codes'!$A$1:'aa codes'!$B$21,2))</f>
        <v>0</v>
      </c>
      <c r="R186">
        <f>IF(N186=0,0,VLOOKUP(N186,'aa codes'!$A$1:'aa codes'!$B$21,2))</f>
        <v>0</v>
      </c>
      <c r="S186" s="1">
        <v>3.8387715900000002E-3</v>
      </c>
      <c r="T186" s="1">
        <v>7.6142132E-3</v>
      </c>
    </row>
    <row r="187" spans="1:20">
      <c r="A187">
        <v>9</v>
      </c>
      <c r="B187">
        <v>135786969</v>
      </c>
      <c r="C187" t="str">
        <f t="shared" si="6"/>
        <v>9:135786969</v>
      </c>
      <c r="D187">
        <v>2</v>
      </c>
      <c r="E187" s="1">
        <v>5.1546391800000001E-3</v>
      </c>
      <c r="F187">
        <v>1</v>
      </c>
      <c r="G187">
        <v>1</v>
      </c>
      <c r="H187" s="4">
        <v>0</v>
      </c>
      <c r="I187">
        <v>10</v>
      </c>
      <c r="J187">
        <v>-14</v>
      </c>
      <c r="K187">
        <v>0</v>
      </c>
      <c r="L187">
        <v>0</v>
      </c>
      <c r="M187">
        <v>0</v>
      </c>
      <c r="N187">
        <v>0</v>
      </c>
      <c r="O187" t="str">
        <f t="shared" si="7"/>
        <v>G</v>
      </c>
      <c r="P187" t="str">
        <f t="shared" si="8"/>
        <v>A</v>
      </c>
      <c r="Q187">
        <f>IF(M187=0,0,VLOOKUP(M187,'aa codes'!$A$1:'aa codes'!$B$21,2))</f>
        <v>0</v>
      </c>
      <c r="R187">
        <f>IF(N187=0,0,VLOOKUP(N187,'aa codes'!$A$1:'aa codes'!$B$21,2))</f>
        <v>0</v>
      </c>
      <c r="S187" s="1">
        <v>3.8834951500000001E-3</v>
      </c>
      <c r="T187" s="1">
        <v>5.1546391800000001E-3</v>
      </c>
    </row>
    <row r="188" spans="1:20">
      <c r="A188">
        <v>9</v>
      </c>
      <c r="B188">
        <v>135786972</v>
      </c>
      <c r="C188" t="str">
        <f t="shared" si="6"/>
        <v>9:135786972</v>
      </c>
      <c r="D188">
        <v>2</v>
      </c>
      <c r="E188" s="1">
        <v>2.35602094E-2</v>
      </c>
      <c r="F188">
        <v>1</v>
      </c>
      <c r="G188">
        <v>2</v>
      </c>
      <c r="H188" s="4">
        <v>0</v>
      </c>
      <c r="I188">
        <v>10</v>
      </c>
      <c r="J188">
        <v>-17</v>
      </c>
      <c r="K188">
        <v>0</v>
      </c>
      <c r="L188">
        <v>0</v>
      </c>
      <c r="M188">
        <v>0</v>
      </c>
      <c r="N188">
        <v>0</v>
      </c>
      <c r="O188" t="str">
        <f t="shared" si="7"/>
        <v>G</v>
      </c>
      <c r="P188" t="str">
        <f t="shared" si="8"/>
        <v>A</v>
      </c>
      <c r="Q188">
        <f>IF(M188=0,0,VLOOKUP(M188,'aa codes'!$A$1:'aa codes'!$B$21,2))</f>
        <v>0</v>
      </c>
      <c r="R188">
        <f>IF(N188=0,0,VLOOKUP(N188,'aa codes'!$A$1:'aa codes'!$B$21,2))</f>
        <v>0</v>
      </c>
      <c r="S188" s="1">
        <v>1.953125E-2</v>
      </c>
      <c r="T188" s="1">
        <v>2.35602094E-2</v>
      </c>
    </row>
    <row r="189" spans="1:20">
      <c r="A189">
        <v>9</v>
      </c>
      <c r="B189">
        <v>135786975</v>
      </c>
      <c r="C189" t="str">
        <f t="shared" si="6"/>
        <v>9:135786975</v>
      </c>
      <c r="D189">
        <v>3</v>
      </c>
      <c r="E189" s="1">
        <v>2.21327968E-2</v>
      </c>
      <c r="F189">
        <v>1</v>
      </c>
      <c r="G189">
        <v>2</v>
      </c>
      <c r="H189" s="4">
        <v>0</v>
      </c>
      <c r="I189">
        <v>10</v>
      </c>
      <c r="J189">
        <v>-20</v>
      </c>
      <c r="K189">
        <v>0</v>
      </c>
      <c r="L189">
        <v>0</v>
      </c>
      <c r="M189">
        <v>0</v>
      </c>
      <c r="N189">
        <v>0</v>
      </c>
      <c r="O189" t="str">
        <f t="shared" si="7"/>
        <v>C</v>
      </c>
      <c r="P189" t="str">
        <f t="shared" si="8"/>
        <v>A</v>
      </c>
      <c r="Q189">
        <f>IF(M189=0,0,VLOOKUP(M189,'aa codes'!$A$1:'aa codes'!$B$21,2))</f>
        <v>0</v>
      </c>
      <c r="R189">
        <f>IF(N189=0,0,VLOOKUP(N189,'aa codes'!$A$1:'aa codes'!$B$21,2))</f>
        <v>0</v>
      </c>
      <c r="S189" s="1">
        <v>2.21327968E-2</v>
      </c>
      <c r="T189" s="1">
        <v>1.8567639300000001E-2</v>
      </c>
    </row>
    <row r="190" spans="1:20">
      <c r="A190">
        <v>9</v>
      </c>
      <c r="B190">
        <v>135786977</v>
      </c>
      <c r="C190" t="str">
        <f t="shared" si="6"/>
        <v>9:135786977</v>
      </c>
      <c r="D190">
        <v>3</v>
      </c>
      <c r="E190" s="1">
        <v>2.6639344299999999E-2</v>
      </c>
      <c r="F190">
        <v>1</v>
      </c>
      <c r="G190">
        <v>2</v>
      </c>
      <c r="H190" s="4">
        <v>0</v>
      </c>
      <c r="I190">
        <v>10</v>
      </c>
      <c r="J190">
        <v>-22</v>
      </c>
      <c r="K190">
        <v>0</v>
      </c>
      <c r="L190">
        <v>0</v>
      </c>
      <c r="M190">
        <v>0</v>
      </c>
      <c r="N190">
        <v>0</v>
      </c>
      <c r="O190" t="str">
        <f t="shared" si="7"/>
        <v>C</v>
      </c>
      <c r="P190" t="str">
        <f t="shared" si="8"/>
        <v>A</v>
      </c>
      <c r="Q190">
        <f>IF(M190=0,0,VLOOKUP(M190,'aa codes'!$A$1:'aa codes'!$B$21,2))</f>
        <v>0</v>
      </c>
      <c r="R190">
        <f>IF(N190=0,0,VLOOKUP(N190,'aa codes'!$A$1:'aa codes'!$B$21,2))</f>
        <v>0</v>
      </c>
      <c r="S190" s="1">
        <v>2.6639344299999999E-2</v>
      </c>
      <c r="T190" s="1">
        <v>1.8867924500000001E-2</v>
      </c>
    </row>
    <row r="191" spans="1:20">
      <c r="A191">
        <v>9</v>
      </c>
      <c r="B191">
        <v>135786979</v>
      </c>
      <c r="C191" t="str">
        <f t="shared" si="6"/>
        <v>9:135786979</v>
      </c>
      <c r="D191">
        <v>2</v>
      </c>
      <c r="E191" s="1">
        <v>7.5757575800000001E-3</v>
      </c>
      <c r="F191">
        <v>1</v>
      </c>
      <c r="G191">
        <v>1</v>
      </c>
      <c r="H191" s="4">
        <v>0</v>
      </c>
      <c r="I191">
        <v>10</v>
      </c>
      <c r="J191">
        <v>-24</v>
      </c>
      <c r="K191">
        <v>0</v>
      </c>
      <c r="L191">
        <v>0</v>
      </c>
      <c r="M191">
        <v>0</v>
      </c>
      <c r="N191">
        <v>0</v>
      </c>
      <c r="O191" t="str">
        <f t="shared" si="7"/>
        <v>G</v>
      </c>
      <c r="P191" t="str">
        <f t="shared" si="8"/>
        <v>A</v>
      </c>
      <c r="Q191">
        <f>IF(M191=0,0,VLOOKUP(M191,'aa codes'!$A$1:'aa codes'!$B$21,2))</f>
        <v>0</v>
      </c>
      <c r="R191">
        <f>IF(N191=0,0,VLOOKUP(N191,'aa codes'!$A$1:'aa codes'!$B$21,2))</f>
        <v>0</v>
      </c>
      <c r="S191" s="1">
        <v>7.5757575800000001E-3</v>
      </c>
      <c r="T191" s="1">
        <v>4.8780487799999998E-3</v>
      </c>
    </row>
    <row r="192" spans="1:20">
      <c r="A192">
        <v>9</v>
      </c>
      <c r="B192">
        <v>135786984</v>
      </c>
      <c r="C192" t="str">
        <f t="shared" si="6"/>
        <v>9:135786984</v>
      </c>
      <c r="D192">
        <v>4</v>
      </c>
      <c r="E192" s="1">
        <v>6.7796610200000001E-3</v>
      </c>
      <c r="F192">
        <v>2</v>
      </c>
      <c r="G192">
        <v>1</v>
      </c>
      <c r="H192" s="4">
        <v>0</v>
      </c>
      <c r="I192">
        <v>10</v>
      </c>
      <c r="J192">
        <v>-29</v>
      </c>
      <c r="K192">
        <v>0</v>
      </c>
      <c r="L192">
        <v>0</v>
      </c>
      <c r="M192">
        <v>0</v>
      </c>
      <c r="N192">
        <v>0</v>
      </c>
      <c r="O192" t="str">
        <f t="shared" si="7"/>
        <v>T</v>
      </c>
      <c r="P192" t="str">
        <f t="shared" si="8"/>
        <v>G</v>
      </c>
      <c r="Q192">
        <f>IF(M192=0,0,VLOOKUP(M192,'aa codes'!$A$1:'aa codes'!$B$21,2))</f>
        <v>0</v>
      </c>
      <c r="R192">
        <f>IF(N192=0,0,VLOOKUP(N192,'aa codes'!$A$1:'aa codes'!$B$21,2))</f>
        <v>0</v>
      </c>
      <c r="S192" s="1">
        <v>0</v>
      </c>
      <c r="T192" s="1">
        <v>6.7796610200000001E-3</v>
      </c>
    </row>
    <row r="193" spans="1:20">
      <c r="A193">
        <v>9</v>
      </c>
      <c r="B193">
        <v>135786999</v>
      </c>
      <c r="C193" t="str">
        <f t="shared" si="6"/>
        <v>9:135786999</v>
      </c>
      <c r="D193">
        <v>1</v>
      </c>
      <c r="E193" s="1">
        <v>9.7323601000000003E-3</v>
      </c>
      <c r="F193">
        <v>4</v>
      </c>
      <c r="G193">
        <v>1</v>
      </c>
      <c r="H193" s="4">
        <v>0</v>
      </c>
      <c r="I193">
        <v>10</v>
      </c>
      <c r="J193">
        <v>-44</v>
      </c>
      <c r="K193">
        <v>0</v>
      </c>
      <c r="L193">
        <v>0</v>
      </c>
      <c r="M193">
        <v>0</v>
      </c>
      <c r="N193">
        <v>0</v>
      </c>
      <c r="O193" t="str">
        <f t="shared" si="7"/>
        <v>A</v>
      </c>
      <c r="P193" t="str">
        <f t="shared" si="8"/>
        <v>T</v>
      </c>
      <c r="Q193">
        <f>IF(M193=0,0,VLOOKUP(M193,'aa codes'!$A$1:'aa codes'!$B$21,2))</f>
        <v>0</v>
      </c>
      <c r="R193">
        <f>IF(N193=0,0,VLOOKUP(N193,'aa codes'!$A$1:'aa codes'!$B$21,2))</f>
        <v>0</v>
      </c>
      <c r="S193" s="1">
        <v>9.7323601000000003E-3</v>
      </c>
      <c r="T193" s="1">
        <v>3.34448161E-3</v>
      </c>
    </row>
    <row r="194" spans="1:20">
      <c r="A194">
        <v>9</v>
      </c>
      <c r="B194">
        <v>135787000</v>
      </c>
      <c r="C194" t="str">
        <f t="shared" si="6"/>
        <v>9:135787000</v>
      </c>
      <c r="D194">
        <v>2</v>
      </c>
      <c r="E194" s="1">
        <v>1.6129032299999999E-2</v>
      </c>
      <c r="F194">
        <v>1</v>
      </c>
      <c r="G194">
        <v>2</v>
      </c>
      <c r="H194" s="4">
        <v>0</v>
      </c>
      <c r="I194">
        <v>10</v>
      </c>
      <c r="J194">
        <v>-45</v>
      </c>
      <c r="K194">
        <v>0</v>
      </c>
      <c r="L194">
        <v>0</v>
      </c>
      <c r="M194">
        <v>0</v>
      </c>
      <c r="N194">
        <v>0</v>
      </c>
      <c r="O194" t="str">
        <f t="shared" si="7"/>
        <v>G</v>
      </c>
      <c r="P194" t="str">
        <f t="shared" si="8"/>
        <v>A</v>
      </c>
      <c r="Q194">
        <f>IF(M194=0,0,VLOOKUP(M194,'aa codes'!$A$1:'aa codes'!$B$21,2))</f>
        <v>0</v>
      </c>
      <c r="R194">
        <f>IF(N194=0,0,VLOOKUP(N194,'aa codes'!$A$1:'aa codes'!$B$21,2))</f>
        <v>0</v>
      </c>
      <c r="S194" s="1">
        <v>1.6129032299999999E-2</v>
      </c>
      <c r="T194" s="1">
        <v>1.5873015899999999E-2</v>
      </c>
    </row>
    <row r="195" spans="1:20">
      <c r="A195">
        <v>9</v>
      </c>
      <c r="B195">
        <v>135787004</v>
      </c>
      <c r="C195" t="str">
        <f t="shared" ref="C195:C258" si="9">A195&amp;":"&amp;B195</f>
        <v>9:135787004</v>
      </c>
      <c r="D195">
        <v>1</v>
      </c>
      <c r="E195" s="1">
        <v>4.8158640199999998E-2</v>
      </c>
      <c r="F195">
        <v>4</v>
      </c>
      <c r="G195">
        <v>2</v>
      </c>
      <c r="H195" s="4">
        <v>0</v>
      </c>
      <c r="I195">
        <v>10</v>
      </c>
      <c r="J195">
        <v>-49</v>
      </c>
      <c r="K195">
        <v>0</v>
      </c>
      <c r="L195">
        <v>0</v>
      </c>
      <c r="M195">
        <v>0</v>
      </c>
      <c r="N195">
        <v>0</v>
      </c>
      <c r="O195" t="str">
        <f t="shared" ref="O195:O258" si="10">IF(D195=1,"A",IF(D195=2,"G",IF(D195=3,"C",IF(D195=4,"T","2NT"))))</f>
        <v>A</v>
      </c>
      <c r="P195" t="str">
        <f t="shared" ref="P195:P258" si="11">IF(F195=1,"A",IF(F195=2,"G",IF(F195=3,"C",IF(F195=4,"T","2NT"))))</f>
        <v>T</v>
      </c>
      <c r="Q195">
        <f>IF(M195=0,0,VLOOKUP(M195,'aa codes'!$A$1:'aa codes'!$B$21,2))</f>
        <v>0</v>
      </c>
      <c r="R195">
        <f>IF(N195=0,0,VLOOKUP(N195,'aa codes'!$A$1:'aa codes'!$B$21,2))</f>
        <v>0</v>
      </c>
      <c r="S195" s="1">
        <v>4.8158640199999998E-2</v>
      </c>
      <c r="T195" s="1">
        <v>4.6632124400000002E-2</v>
      </c>
    </row>
    <row r="196" spans="1:20">
      <c r="A196">
        <v>9</v>
      </c>
      <c r="B196">
        <v>135787007</v>
      </c>
      <c r="C196" t="str">
        <f t="shared" si="9"/>
        <v>9:135787007</v>
      </c>
      <c r="D196">
        <v>3</v>
      </c>
      <c r="E196" s="1">
        <v>0.154545455</v>
      </c>
      <c r="F196">
        <v>4</v>
      </c>
      <c r="G196">
        <v>2</v>
      </c>
      <c r="H196" s="4">
        <v>0</v>
      </c>
      <c r="I196">
        <v>10</v>
      </c>
      <c r="J196">
        <v>-52</v>
      </c>
      <c r="K196">
        <v>0</v>
      </c>
      <c r="L196">
        <v>0</v>
      </c>
      <c r="M196">
        <v>0</v>
      </c>
      <c r="N196">
        <v>0</v>
      </c>
      <c r="O196" t="str">
        <f t="shared" si="10"/>
        <v>C</v>
      </c>
      <c r="P196" t="str">
        <f t="shared" si="11"/>
        <v>T</v>
      </c>
      <c r="Q196">
        <f>IF(M196=0,0,VLOOKUP(M196,'aa codes'!$A$1:'aa codes'!$B$21,2))</f>
        <v>0</v>
      </c>
      <c r="R196">
        <f>IF(N196=0,0,VLOOKUP(N196,'aa codes'!$A$1:'aa codes'!$B$21,2))</f>
        <v>0</v>
      </c>
      <c r="S196" s="1">
        <v>0.108433735</v>
      </c>
      <c r="T196" s="1">
        <v>0.154545455</v>
      </c>
    </row>
    <row r="197" spans="1:20">
      <c r="A197">
        <v>9</v>
      </c>
      <c r="B197">
        <v>135787009</v>
      </c>
      <c r="C197" t="str">
        <f t="shared" si="9"/>
        <v>9:135787009</v>
      </c>
      <c r="D197">
        <v>2</v>
      </c>
      <c r="E197" s="1">
        <v>3.8095238099999998E-2</v>
      </c>
      <c r="F197">
        <v>4</v>
      </c>
      <c r="G197">
        <v>2</v>
      </c>
      <c r="H197" s="4">
        <v>0</v>
      </c>
      <c r="I197">
        <v>10</v>
      </c>
      <c r="J197">
        <v>-54</v>
      </c>
      <c r="K197">
        <v>0</v>
      </c>
      <c r="L197">
        <v>0</v>
      </c>
      <c r="M197">
        <v>0</v>
      </c>
      <c r="N197">
        <v>0</v>
      </c>
      <c r="O197" t="str">
        <f t="shared" si="10"/>
        <v>G</v>
      </c>
      <c r="P197" t="str">
        <f t="shared" si="11"/>
        <v>T</v>
      </c>
      <c r="Q197">
        <f>IF(M197=0,0,VLOOKUP(M197,'aa codes'!$A$1:'aa codes'!$B$21,2))</f>
        <v>0</v>
      </c>
      <c r="R197">
        <f>IF(N197=0,0,VLOOKUP(N197,'aa codes'!$A$1:'aa codes'!$B$21,2))</f>
        <v>0</v>
      </c>
      <c r="S197" s="1">
        <v>2.6315789499999999E-2</v>
      </c>
      <c r="T197" s="1">
        <v>3.8095238099999998E-2</v>
      </c>
    </row>
    <row r="198" spans="1:20">
      <c r="A198">
        <v>9</v>
      </c>
      <c r="B198">
        <v>135787011</v>
      </c>
      <c r="C198" t="str">
        <f t="shared" si="9"/>
        <v>9:135787011</v>
      </c>
      <c r="D198">
        <v>4</v>
      </c>
      <c r="E198" s="1">
        <v>5.2083333300000003E-3</v>
      </c>
      <c r="F198">
        <v>1</v>
      </c>
      <c r="G198">
        <v>1</v>
      </c>
      <c r="H198" s="4">
        <v>0</v>
      </c>
      <c r="I198">
        <v>10</v>
      </c>
      <c r="J198">
        <v>-56</v>
      </c>
      <c r="K198">
        <v>0</v>
      </c>
      <c r="L198">
        <v>0</v>
      </c>
      <c r="M198">
        <v>0</v>
      </c>
      <c r="N198">
        <v>0</v>
      </c>
      <c r="O198" t="str">
        <f t="shared" si="10"/>
        <v>T</v>
      </c>
      <c r="P198" t="str">
        <f t="shared" si="11"/>
        <v>A</v>
      </c>
      <c r="Q198">
        <f>IF(M198=0,0,VLOOKUP(M198,'aa codes'!$A$1:'aa codes'!$B$21,2))</f>
        <v>0</v>
      </c>
      <c r="R198">
        <f>IF(N198=0,0,VLOOKUP(N198,'aa codes'!$A$1:'aa codes'!$B$21,2))</f>
        <v>0</v>
      </c>
      <c r="S198" s="1">
        <v>0</v>
      </c>
      <c r="T198" s="1">
        <v>5.2083333300000003E-3</v>
      </c>
    </row>
    <row r="199" spans="1:20">
      <c r="A199">
        <v>9</v>
      </c>
      <c r="B199">
        <v>135787012</v>
      </c>
      <c r="C199" t="str">
        <f t="shared" si="9"/>
        <v>9:135787012</v>
      </c>
      <c r="D199">
        <v>4</v>
      </c>
      <c r="E199" s="1">
        <v>7.3800738000000003E-3</v>
      </c>
      <c r="F199">
        <v>1</v>
      </c>
      <c r="G199">
        <v>1</v>
      </c>
      <c r="H199" s="4">
        <v>0</v>
      </c>
      <c r="I199">
        <v>10</v>
      </c>
      <c r="J199">
        <v>-57</v>
      </c>
      <c r="K199">
        <v>0</v>
      </c>
      <c r="L199">
        <v>0</v>
      </c>
      <c r="M199">
        <v>0</v>
      </c>
      <c r="N199">
        <v>0</v>
      </c>
      <c r="O199" t="str">
        <f t="shared" si="10"/>
        <v>T</v>
      </c>
      <c r="P199" t="str">
        <f t="shared" si="11"/>
        <v>A</v>
      </c>
      <c r="Q199">
        <f>IF(M199=0,0,VLOOKUP(M199,'aa codes'!$A$1:'aa codes'!$B$21,2))</f>
        <v>0</v>
      </c>
      <c r="R199">
        <f>IF(N199=0,0,VLOOKUP(N199,'aa codes'!$A$1:'aa codes'!$B$21,2))</f>
        <v>0</v>
      </c>
      <c r="S199" s="1">
        <v>2.83286119E-3</v>
      </c>
      <c r="T199" s="1">
        <v>7.3800738000000003E-3</v>
      </c>
    </row>
    <row r="200" spans="1:20">
      <c r="A200">
        <v>9</v>
      </c>
      <c r="B200">
        <v>135787013</v>
      </c>
      <c r="C200" t="str">
        <f t="shared" si="9"/>
        <v>9:135787013</v>
      </c>
      <c r="D200">
        <v>1</v>
      </c>
      <c r="E200" s="1">
        <v>6.2305295999999996E-3</v>
      </c>
      <c r="F200">
        <v>4</v>
      </c>
      <c r="G200">
        <v>1</v>
      </c>
      <c r="H200" s="4">
        <v>0</v>
      </c>
      <c r="I200">
        <v>10</v>
      </c>
      <c r="J200">
        <v>-58</v>
      </c>
      <c r="K200">
        <v>0</v>
      </c>
      <c r="L200">
        <v>0</v>
      </c>
      <c r="M200">
        <v>0</v>
      </c>
      <c r="N200">
        <v>0</v>
      </c>
      <c r="O200" t="str">
        <f t="shared" si="10"/>
        <v>A</v>
      </c>
      <c r="P200" t="str">
        <f t="shared" si="11"/>
        <v>T</v>
      </c>
      <c r="Q200">
        <f>IF(M200=0,0,VLOOKUP(M200,'aa codes'!$A$1:'aa codes'!$B$21,2))</f>
        <v>0</v>
      </c>
      <c r="R200">
        <f>IF(N200=0,0,VLOOKUP(N200,'aa codes'!$A$1:'aa codes'!$B$21,2))</f>
        <v>0</v>
      </c>
      <c r="S200" s="1">
        <v>6.2305295999999996E-3</v>
      </c>
      <c r="T200" s="1">
        <v>0</v>
      </c>
    </row>
    <row r="201" spans="1:20">
      <c r="A201">
        <v>9</v>
      </c>
      <c r="B201">
        <v>135787014</v>
      </c>
      <c r="C201" t="str">
        <f t="shared" si="9"/>
        <v>9:135787014</v>
      </c>
      <c r="D201">
        <v>1</v>
      </c>
      <c r="E201" s="1">
        <v>1.08991826E-2</v>
      </c>
      <c r="F201">
        <v>4</v>
      </c>
      <c r="G201">
        <v>2</v>
      </c>
      <c r="H201" s="4">
        <v>0</v>
      </c>
      <c r="I201">
        <v>10</v>
      </c>
      <c r="J201">
        <v>-59</v>
      </c>
      <c r="K201">
        <v>0</v>
      </c>
      <c r="L201">
        <v>0</v>
      </c>
      <c r="M201">
        <v>0</v>
      </c>
      <c r="N201">
        <v>0</v>
      </c>
      <c r="O201" t="str">
        <f t="shared" si="10"/>
        <v>A</v>
      </c>
      <c r="P201" t="str">
        <f t="shared" si="11"/>
        <v>T</v>
      </c>
      <c r="Q201">
        <f>IF(M201=0,0,VLOOKUP(M201,'aa codes'!$A$1:'aa codes'!$B$21,2))</f>
        <v>0</v>
      </c>
      <c r="R201">
        <f>IF(N201=0,0,VLOOKUP(N201,'aa codes'!$A$1:'aa codes'!$B$21,2))</f>
        <v>0</v>
      </c>
      <c r="S201" s="1">
        <v>1.08991826E-2</v>
      </c>
      <c r="T201" s="1">
        <v>6.2695924799999999E-3</v>
      </c>
    </row>
    <row r="202" spans="1:20">
      <c r="A202">
        <v>9</v>
      </c>
      <c r="B202">
        <v>135787044</v>
      </c>
      <c r="C202" t="str">
        <f t="shared" si="9"/>
        <v>9:135787044</v>
      </c>
      <c r="D202">
        <v>2</v>
      </c>
      <c r="E202" s="1">
        <v>2.5862069000000001E-2</v>
      </c>
      <c r="F202">
        <v>1</v>
      </c>
      <c r="G202">
        <v>2</v>
      </c>
      <c r="H202" s="4">
        <v>0</v>
      </c>
      <c r="I202">
        <v>10</v>
      </c>
      <c r="J202">
        <v>-89</v>
      </c>
      <c r="K202">
        <v>0</v>
      </c>
      <c r="L202">
        <v>0</v>
      </c>
      <c r="M202">
        <v>0</v>
      </c>
      <c r="N202">
        <v>0</v>
      </c>
      <c r="O202" t="str">
        <f t="shared" si="10"/>
        <v>G</v>
      </c>
      <c r="P202" t="str">
        <f t="shared" si="11"/>
        <v>A</v>
      </c>
      <c r="Q202">
        <f>IF(M202=0,0,VLOOKUP(M202,'aa codes'!$A$1:'aa codes'!$B$21,2))</f>
        <v>0</v>
      </c>
      <c r="R202">
        <f>IF(N202=0,0,VLOOKUP(N202,'aa codes'!$A$1:'aa codes'!$B$21,2))</f>
        <v>0</v>
      </c>
      <c r="S202" s="1">
        <v>2.3148148100000002E-2</v>
      </c>
      <c r="T202" s="1">
        <v>2.5862069000000001E-2</v>
      </c>
    </row>
    <row r="203" spans="1:20">
      <c r="A203">
        <v>9</v>
      </c>
      <c r="B203">
        <v>135787048</v>
      </c>
      <c r="C203" t="str">
        <f t="shared" si="9"/>
        <v>9:135787048</v>
      </c>
      <c r="D203">
        <v>2</v>
      </c>
      <c r="E203" s="1">
        <v>4.6692606999999997E-2</v>
      </c>
      <c r="F203">
        <v>4</v>
      </c>
      <c r="G203">
        <v>2</v>
      </c>
      <c r="H203" s="4">
        <v>0</v>
      </c>
      <c r="I203">
        <v>10</v>
      </c>
      <c r="J203">
        <v>-93</v>
      </c>
      <c r="K203">
        <v>0</v>
      </c>
      <c r="L203">
        <v>0</v>
      </c>
      <c r="M203">
        <v>0</v>
      </c>
      <c r="N203">
        <v>0</v>
      </c>
      <c r="O203" t="str">
        <f t="shared" si="10"/>
        <v>G</v>
      </c>
      <c r="P203" t="str">
        <f t="shared" si="11"/>
        <v>T</v>
      </c>
      <c r="Q203">
        <f>IF(M203=0,0,VLOOKUP(M203,'aa codes'!$A$1:'aa codes'!$B$21,2))</f>
        <v>0</v>
      </c>
      <c r="R203">
        <f>IF(N203=0,0,VLOOKUP(N203,'aa codes'!$A$1:'aa codes'!$B$21,2))</f>
        <v>0</v>
      </c>
      <c r="S203" s="1">
        <v>1.6985138E-2</v>
      </c>
      <c r="T203" s="1">
        <v>4.6692606999999997E-2</v>
      </c>
    </row>
    <row r="204" spans="1:20">
      <c r="A204">
        <v>9</v>
      </c>
      <c r="B204">
        <v>135787049</v>
      </c>
      <c r="C204" t="str">
        <f t="shared" si="9"/>
        <v>9:135787049</v>
      </c>
      <c r="D204">
        <v>4</v>
      </c>
      <c r="E204" s="1">
        <v>6.9930069899999999E-3</v>
      </c>
      <c r="F204">
        <v>3</v>
      </c>
      <c r="G204">
        <v>1</v>
      </c>
      <c r="H204" s="4">
        <v>0</v>
      </c>
      <c r="I204">
        <v>10</v>
      </c>
      <c r="J204">
        <v>-94</v>
      </c>
      <c r="K204">
        <v>0</v>
      </c>
      <c r="L204">
        <v>0</v>
      </c>
      <c r="M204">
        <v>0</v>
      </c>
      <c r="N204">
        <v>0</v>
      </c>
      <c r="O204" t="str">
        <f t="shared" si="10"/>
        <v>T</v>
      </c>
      <c r="P204" t="str">
        <f t="shared" si="11"/>
        <v>C</v>
      </c>
      <c r="Q204">
        <f>IF(M204=0,0,VLOOKUP(M204,'aa codes'!$A$1:'aa codes'!$B$21,2))</f>
        <v>0</v>
      </c>
      <c r="R204">
        <f>IF(N204=0,0,VLOOKUP(N204,'aa codes'!$A$1:'aa codes'!$B$21,2))</f>
        <v>0</v>
      </c>
      <c r="S204" s="1">
        <v>1.9569471599999999E-3</v>
      </c>
      <c r="T204" s="1">
        <v>6.9930069899999999E-3</v>
      </c>
    </row>
    <row r="205" spans="1:20">
      <c r="A205">
        <v>9</v>
      </c>
      <c r="B205">
        <v>135787051</v>
      </c>
      <c r="C205" t="str">
        <f t="shared" si="9"/>
        <v>9:135787051</v>
      </c>
      <c r="D205">
        <v>3</v>
      </c>
      <c r="E205" s="1">
        <v>3.0303030299999999E-2</v>
      </c>
      <c r="F205">
        <v>4</v>
      </c>
      <c r="G205">
        <v>1</v>
      </c>
      <c r="H205" s="4">
        <v>0</v>
      </c>
      <c r="I205">
        <v>10</v>
      </c>
      <c r="J205">
        <v>-96</v>
      </c>
      <c r="K205">
        <v>0</v>
      </c>
      <c r="L205">
        <v>0</v>
      </c>
      <c r="M205">
        <v>0</v>
      </c>
      <c r="N205">
        <v>0</v>
      </c>
      <c r="O205" t="str">
        <f t="shared" si="10"/>
        <v>C</v>
      </c>
      <c r="P205" t="str">
        <f t="shared" si="11"/>
        <v>T</v>
      </c>
      <c r="Q205">
        <f>IF(M205=0,0,VLOOKUP(M205,'aa codes'!$A$1:'aa codes'!$B$21,2))</f>
        <v>0</v>
      </c>
      <c r="R205">
        <f>IF(N205=0,0,VLOOKUP(N205,'aa codes'!$A$1:'aa codes'!$B$21,2))</f>
        <v>0</v>
      </c>
      <c r="S205" s="1">
        <v>4.0899795500000001E-3</v>
      </c>
      <c r="T205" s="1">
        <v>3.0303030299999999E-2</v>
      </c>
    </row>
    <row r="206" spans="1:20">
      <c r="A206">
        <v>9</v>
      </c>
      <c r="B206">
        <v>135787053</v>
      </c>
      <c r="C206" t="str">
        <f t="shared" si="9"/>
        <v>9:135787053</v>
      </c>
      <c r="D206">
        <v>3</v>
      </c>
      <c r="E206" s="1">
        <v>1.16731518E-2</v>
      </c>
      <c r="F206">
        <v>4</v>
      </c>
      <c r="G206">
        <v>2</v>
      </c>
      <c r="H206" s="4">
        <v>0</v>
      </c>
      <c r="I206">
        <v>10</v>
      </c>
      <c r="J206">
        <v>-98</v>
      </c>
      <c r="K206">
        <v>0</v>
      </c>
      <c r="L206">
        <v>0</v>
      </c>
      <c r="M206">
        <v>0</v>
      </c>
      <c r="N206">
        <v>0</v>
      </c>
      <c r="O206" t="str">
        <f t="shared" si="10"/>
        <v>C</v>
      </c>
      <c r="P206" t="str">
        <f t="shared" si="11"/>
        <v>T</v>
      </c>
      <c r="Q206">
        <f>IF(M206=0,0,VLOOKUP(M206,'aa codes'!$A$1:'aa codes'!$B$21,2))</f>
        <v>0</v>
      </c>
      <c r="R206">
        <f>IF(N206=0,0,VLOOKUP(N206,'aa codes'!$A$1:'aa codes'!$B$21,2))</f>
        <v>0</v>
      </c>
      <c r="S206" s="1">
        <v>1.0438413400000001E-2</v>
      </c>
      <c r="T206" s="1">
        <v>1.16731518E-2</v>
      </c>
    </row>
    <row r="207" spans="1:20">
      <c r="A207">
        <v>9</v>
      </c>
      <c r="B207">
        <v>135787056</v>
      </c>
      <c r="C207" t="str">
        <f t="shared" si="9"/>
        <v>9:135787056</v>
      </c>
      <c r="D207">
        <v>2</v>
      </c>
      <c r="E207" s="1">
        <v>6.4981949499999997E-2</v>
      </c>
      <c r="F207">
        <v>1</v>
      </c>
      <c r="G207">
        <v>2</v>
      </c>
      <c r="H207" s="4">
        <v>0</v>
      </c>
      <c r="I207">
        <v>10</v>
      </c>
      <c r="J207">
        <v>-101</v>
      </c>
      <c r="K207">
        <v>0</v>
      </c>
      <c r="L207">
        <v>0</v>
      </c>
      <c r="M207">
        <v>0</v>
      </c>
      <c r="N207">
        <v>0</v>
      </c>
      <c r="O207" t="str">
        <f t="shared" si="10"/>
        <v>G</v>
      </c>
      <c r="P207" t="str">
        <f t="shared" si="11"/>
        <v>A</v>
      </c>
      <c r="Q207">
        <f>IF(M207=0,0,VLOOKUP(M207,'aa codes'!$A$1:'aa codes'!$B$21,2))</f>
        <v>0</v>
      </c>
      <c r="R207">
        <f>IF(N207=0,0,VLOOKUP(N207,'aa codes'!$A$1:'aa codes'!$B$21,2))</f>
        <v>0</v>
      </c>
      <c r="S207" s="1">
        <v>3.7181996100000003E-2</v>
      </c>
      <c r="T207" s="1">
        <v>6.4981949499999997E-2</v>
      </c>
    </row>
    <row r="208" spans="1:20">
      <c r="A208">
        <v>9</v>
      </c>
      <c r="B208">
        <v>135787060</v>
      </c>
      <c r="C208" t="str">
        <f t="shared" si="9"/>
        <v>9:135787060</v>
      </c>
      <c r="D208">
        <v>1</v>
      </c>
      <c r="E208" s="1">
        <v>4.21052632E-2</v>
      </c>
      <c r="F208">
        <v>4</v>
      </c>
      <c r="G208">
        <v>2</v>
      </c>
      <c r="H208" s="4">
        <v>0</v>
      </c>
      <c r="I208">
        <v>10</v>
      </c>
      <c r="J208">
        <v>-105</v>
      </c>
      <c r="K208">
        <v>0</v>
      </c>
      <c r="L208">
        <v>0</v>
      </c>
      <c r="M208">
        <v>0</v>
      </c>
      <c r="N208">
        <v>0</v>
      </c>
      <c r="O208" t="str">
        <f t="shared" si="10"/>
        <v>A</v>
      </c>
      <c r="P208" t="str">
        <f t="shared" si="11"/>
        <v>T</v>
      </c>
      <c r="Q208">
        <f>IF(M208=0,0,VLOOKUP(M208,'aa codes'!$A$1:'aa codes'!$B$21,2))</f>
        <v>0</v>
      </c>
      <c r="R208">
        <f>IF(N208=0,0,VLOOKUP(N208,'aa codes'!$A$1:'aa codes'!$B$21,2))</f>
        <v>0</v>
      </c>
      <c r="S208" s="1">
        <v>3.50553506E-2</v>
      </c>
      <c r="T208" s="1">
        <v>4.21052632E-2</v>
      </c>
    </row>
    <row r="209" spans="1:20">
      <c r="A209">
        <v>9</v>
      </c>
      <c r="B209">
        <v>135787064</v>
      </c>
      <c r="C209" t="str">
        <f t="shared" si="9"/>
        <v>9:135787064</v>
      </c>
      <c r="D209">
        <v>2</v>
      </c>
      <c r="E209" s="1">
        <v>1.6181229799999999E-2</v>
      </c>
      <c r="F209">
        <v>4</v>
      </c>
      <c r="G209">
        <v>2</v>
      </c>
      <c r="H209" s="4">
        <v>0</v>
      </c>
      <c r="I209">
        <v>10</v>
      </c>
      <c r="J209">
        <v>-109</v>
      </c>
      <c r="K209">
        <v>0</v>
      </c>
      <c r="L209">
        <v>0</v>
      </c>
      <c r="M209">
        <v>0</v>
      </c>
      <c r="N209">
        <v>0</v>
      </c>
      <c r="O209" t="str">
        <f t="shared" si="10"/>
        <v>G</v>
      </c>
      <c r="P209" t="str">
        <f t="shared" si="11"/>
        <v>T</v>
      </c>
      <c r="Q209">
        <f>IF(M209=0,0,VLOOKUP(M209,'aa codes'!$A$1:'aa codes'!$B$21,2))</f>
        <v>0</v>
      </c>
      <c r="R209">
        <f>IF(N209=0,0,VLOOKUP(N209,'aa codes'!$A$1:'aa codes'!$B$21,2))</f>
        <v>0</v>
      </c>
      <c r="S209" s="1">
        <v>8.9766606799999999E-3</v>
      </c>
      <c r="T209" s="1">
        <v>1.6181229799999999E-2</v>
      </c>
    </row>
    <row r="210" spans="1:20">
      <c r="A210">
        <v>9</v>
      </c>
      <c r="B210">
        <v>135787066</v>
      </c>
      <c r="C210" t="str">
        <f t="shared" si="9"/>
        <v>9:135787066</v>
      </c>
      <c r="D210">
        <v>4</v>
      </c>
      <c r="E210" s="1">
        <v>2.5974026000000001E-2</v>
      </c>
      <c r="F210">
        <v>1</v>
      </c>
      <c r="G210">
        <v>2</v>
      </c>
      <c r="H210" s="4">
        <v>0</v>
      </c>
      <c r="I210">
        <v>10</v>
      </c>
      <c r="J210">
        <v>-111</v>
      </c>
      <c r="K210">
        <v>0</v>
      </c>
      <c r="L210">
        <v>0</v>
      </c>
      <c r="M210">
        <v>0</v>
      </c>
      <c r="N210">
        <v>0</v>
      </c>
      <c r="O210" t="str">
        <f t="shared" si="10"/>
        <v>T</v>
      </c>
      <c r="P210" t="str">
        <f t="shared" si="11"/>
        <v>A</v>
      </c>
      <c r="Q210">
        <f>IF(M210=0,0,VLOOKUP(M210,'aa codes'!$A$1:'aa codes'!$B$21,2))</f>
        <v>0</v>
      </c>
      <c r="R210">
        <f>IF(N210=0,0,VLOOKUP(N210,'aa codes'!$A$1:'aa codes'!$B$21,2))</f>
        <v>0</v>
      </c>
      <c r="S210" s="1">
        <v>1.43884892E-2</v>
      </c>
      <c r="T210" s="1">
        <v>2.5974026000000001E-2</v>
      </c>
    </row>
    <row r="211" spans="1:20">
      <c r="A211">
        <v>9</v>
      </c>
      <c r="B211">
        <v>135787069</v>
      </c>
      <c r="C211" t="str">
        <f t="shared" si="9"/>
        <v>9:135787069</v>
      </c>
      <c r="D211">
        <v>4</v>
      </c>
      <c r="E211" s="1">
        <v>1.8808777400000001E-2</v>
      </c>
      <c r="F211">
        <v>1</v>
      </c>
      <c r="G211">
        <v>2</v>
      </c>
      <c r="H211" s="4">
        <v>0</v>
      </c>
      <c r="I211">
        <v>10</v>
      </c>
      <c r="J211">
        <v>-114</v>
      </c>
      <c r="K211">
        <v>0</v>
      </c>
      <c r="L211">
        <v>0</v>
      </c>
      <c r="M211">
        <v>0</v>
      </c>
      <c r="N211">
        <v>0</v>
      </c>
      <c r="O211" t="str">
        <f t="shared" si="10"/>
        <v>T</v>
      </c>
      <c r="P211" t="str">
        <f t="shared" si="11"/>
        <v>A</v>
      </c>
      <c r="Q211">
        <f>IF(M211=0,0,VLOOKUP(M211,'aa codes'!$A$1:'aa codes'!$B$21,2))</f>
        <v>0</v>
      </c>
      <c r="R211">
        <f>IF(N211=0,0,VLOOKUP(N211,'aa codes'!$A$1:'aa codes'!$B$21,2))</f>
        <v>0</v>
      </c>
      <c r="S211" s="1">
        <v>1.0434782599999999E-2</v>
      </c>
      <c r="T211" s="1">
        <v>1.8808777400000001E-2</v>
      </c>
    </row>
    <row r="212" spans="1:20">
      <c r="A212">
        <v>9</v>
      </c>
      <c r="B212">
        <v>135787073</v>
      </c>
      <c r="C212" t="str">
        <f t="shared" si="9"/>
        <v>9:135787073</v>
      </c>
      <c r="D212">
        <v>3</v>
      </c>
      <c r="E212" s="1">
        <v>2.04678363E-2</v>
      </c>
      <c r="F212">
        <v>1</v>
      </c>
      <c r="G212">
        <v>2</v>
      </c>
      <c r="H212" s="4">
        <v>0</v>
      </c>
      <c r="I212">
        <v>10</v>
      </c>
      <c r="J212">
        <v>-118</v>
      </c>
      <c r="K212">
        <v>0</v>
      </c>
      <c r="L212">
        <v>0</v>
      </c>
      <c r="M212">
        <v>0</v>
      </c>
      <c r="N212">
        <v>0</v>
      </c>
      <c r="O212" t="str">
        <f t="shared" si="10"/>
        <v>C</v>
      </c>
      <c r="P212" t="str">
        <f t="shared" si="11"/>
        <v>A</v>
      </c>
      <c r="Q212">
        <f>IF(M212=0,0,VLOOKUP(M212,'aa codes'!$A$1:'aa codes'!$B$21,2))</f>
        <v>0</v>
      </c>
      <c r="R212">
        <f>IF(N212=0,0,VLOOKUP(N212,'aa codes'!$A$1:'aa codes'!$B$21,2))</f>
        <v>0</v>
      </c>
      <c r="S212" s="1">
        <v>1.7699115000000001E-2</v>
      </c>
      <c r="T212" s="1">
        <v>2.04678363E-2</v>
      </c>
    </row>
    <row r="213" spans="1:20">
      <c r="A213">
        <v>9</v>
      </c>
      <c r="B213">
        <v>135787080</v>
      </c>
      <c r="C213" t="str">
        <f t="shared" si="9"/>
        <v>9:135787080</v>
      </c>
      <c r="D213">
        <v>3</v>
      </c>
      <c r="E213" s="1">
        <v>8.1300812999999996E-3</v>
      </c>
      <c r="F213">
        <v>4</v>
      </c>
      <c r="G213">
        <v>2</v>
      </c>
      <c r="H213" s="4">
        <v>0</v>
      </c>
      <c r="I213">
        <v>10</v>
      </c>
      <c r="J213">
        <v>-125</v>
      </c>
      <c r="K213">
        <v>0</v>
      </c>
      <c r="L213">
        <v>0</v>
      </c>
      <c r="M213">
        <v>0</v>
      </c>
      <c r="N213">
        <v>0</v>
      </c>
      <c r="O213" t="str">
        <f t="shared" si="10"/>
        <v>C</v>
      </c>
      <c r="P213" t="str">
        <f t="shared" si="11"/>
        <v>T</v>
      </c>
      <c r="Q213">
        <f>IF(M213=0,0,VLOOKUP(M213,'aa codes'!$A$1:'aa codes'!$B$21,2))</f>
        <v>0</v>
      </c>
      <c r="R213">
        <f>IF(N213=0,0,VLOOKUP(N213,'aa codes'!$A$1:'aa codes'!$B$21,2))</f>
        <v>0</v>
      </c>
      <c r="S213" s="1">
        <v>8.1037277099999996E-3</v>
      </c>
      <c r="T213" s="1">
        <v>8.1300812999999996E-3</v>
      </c>
    </row>
    <row r="214" spans="1:20">
      <c r="A214">
        <v>9</v>
      </c>
      <c r="B214">
        <v>135787082</v>
      </c>
      <c r="C214" t="str">
        <f t="shared" si="9"/>
        <v>9:135787082</v>
      </c>
      <c r="D214">
        <v>2</v>
      </c>
      <c r="E214" s="1">
        <v>1.05820106E-2</v>
      </c>
      <c r="F214">
        <v>4</v>
      </c>
      <c r="G214">
        <v>1</v>
      </c>
      <c r="H214" s="4">
        <v>0</v>
      </c>
      <c r="I214">
        <v>10</v>
      </c>
      <c r="J214">
        <v>-127</v>
      </c>
      <c r="K214">
        <v>0</v>
      </c>
      <c r="L214">
        <v>0</v>
      </c>
      <c r="M214">
        <v>0</v>
      </c>
      <c r="N214">
        <v>0</v>
      </c>
      <c r="O214" t="str">
        <f t="shared" si="10"/>
        <v>G</v>
      </c>
      <c r="P214" t="str">
        <f t="shared" si="11"/>
        <v>T</v>
      </c>
      <c r="Q214">
        <f>IF(M214=0,0,VLOOKUP(M214,'aa codes'!$A$1:'aa codes'!$B$21,2))</f>
        <v>0</v>
      </c>
      <c r="R214">
        <f>IF(N214=0,0,VLOOKUP(N214,'aa codes'!$A$1:'aa codes'!$B$21,2))</f>
        <v>0</v>
      </c>
      <c r="S214" s="1">
        <v>1.6313213700000001E-3</v>
      </c>
      <c r="T214" s="1">
        <v>1.05820106E-2</v>
      </c>
    </row>
    <row r="215" spans="1:20">
      <c r="A215">
        <v>9</v>
      </c>
      <c r="B215">
        <v>135787083</v>
      </c>
      <c r="C215" t="str">
        <f t="shared" si="9"/>
        <v>9:135787083</v>
      </c>
      <c r="D215">
        <v>4</v>
      </c>
      <c r="E215" s="1">
        <v>5.0505050500000001E-3</v>
      </c>
      <c r="F215">
        <v>1</v>
      </c>
      <c r="G215">
        <v>1</v>
      </c>
      <c r="H215" s="4">
        <v>0</v>
      </c>
      <c r="I215">
        <v>10</v>
      </c>
      <c r="J215">
        <v>-128</v>
      </c>
      <c r="K215">
        <v>0</v>
      </c>
      <c r="L215">
        <v>0</v>
      </c>
      <c r="M215">
        <v>0</v>
      </c>
      <c r="N215">
        <v>0</v>
      </c>
      <c r="O215" t="str">
        <f t="shared" si="10"/>
        <v>T</v>
      </c>
      <c r="P215" t="str">
        <f t="shared" si="11"/>
        <v>A</v>
      </c>
      <c r="Q215">
        <f>IF(M215=0,0,VLOOKUP(M215,'aa codes'!$A$1:'aa codes'!$B$21,2))</f>
        <v>0</v>
      </c>
      <c r="R215">
        <f>IF(N215=0,0,VLOOKUP(N215,'aa codes'!$A$1:'aa codes'!$B$21,2))</f>
        <v>0</v>
      </c>
      <c r="S215" s="1">
        <v>4.5941806999999996E-3</v>
      </c>
      <c r="T215" s="1">
        <v>5.0505050500000001E-3</v>
      </c>
    </row>
    <row r="216" spans="1:20">
      <c r="A216">
        <v>9</v>
      </c>
      <c r="B216">
        <v>135787087</v>
      </c>
      <c r="C216" t="str">
        <f t="shared" si="9"/>
        <v>9:135787087</v>
      </c>
      <c r="D216">
        <v>4</v>
      </c>
      <c r="E216" s="1">
        <v>1.12107623E-2</v>
      </c>
      <c r="F216">
        <v>1</v>
      </c>
      <c r="G216">
        <v>2</v>
      </c>
      <c r="H216" s="4">
        <v>0</v>
      </c>
      <c r="I216">
        <v>10</v>
      </c>
      <c r="J216">
        <v>-132</v>
      </c>
      <c r="K216">
        <v>0</v>
      </c>
      <c r="L216">
        <v>0</v>
      </c>
      <c r="M216">
        <v>0</v>
      </c>
      <c r="N216">
        <v>0</v>
      </c>
      <c r="O216" t="str">
        <f t="shared" si="10"/>
        <v>T</v>
      </c>
      <c r="P216" t="str">
        <f t="shared" si="11"/>
        <v>A</v>
      </c>
      <c r="Q216">
        <f>IF(M216=0,0,VLOOKUP(M216,'aa codes'!$A$1:'aa codes'!$B$21,2))</f>
        <v>0</v>
      </c>
      <c r="R216">
        <f>IF(N216=0,0,VLOOKUP(N216,'aa codes'!$A$1:'aa codes'!$B$21,2))</f>
        <v>0</v>
      </c>
      <c r="S216" s="1">
        <v>9.1047040999999995E-3</v>
      </c>
      <c r="T216" s="1">
        <v>1.12107623E-2</v>
      </c>
    </row>
    <row r="217" spans="1:20">
      <c r="A217">
        <v>9</v>
      </c>
      <c r="B217">
        <v>135788328</v>
      </c>
      <c r="C217" t="str">
        <f t="shared" si="9"/>
        <v>9:135788328</v>
      </c>
      <c r="D217">
        <v>3</v>
      </c>
      <c r="E217" s="1">
        <v>6.3291139199999997E-3</v>
      </c>
      <c r="F217">
        <v>4</v>
      </c>
      <c r="G217">
        <v>2</v>
      </c>
      <c r="H217" s="4">
        <v>0</v>
      </c>
      <c r="I217">
        <v>9</v>
      </c>
      <c r="J217">
        <v>-484</v>
      </c>
      <c r="K217">
        <v>0</v>
      </c>
      <c r="L217">
        <v>0</v>
      </c>
      <c r="M217">
        <v>0</v>
      </c>
      <c r="N217">
        <v>0</v>
      </c>
      <c r="O217" t="str">
        <f t="shared" si="10"/>
        <v>C</v>
      </c>
      <c r="P217" t="str">
        <f t="shared" si="11"/>
        <v>T</v>
      </c>
      <c r="Q217">
        <f>IF(M217=0,0,VLOOKUP(M217,'aa codes'!$A$1:'aa codes'!$B$21,2))</f>
        <v>0</v>
      </c>
      <c r="R217">
        <f>IF(N217=0,0,VLOOKUP(N217,'aa codes'!$A$1:'aa codes'!$B$21,2))</f>
        <v>0</v>
      </c>
      <c r="S217" s="1">
        <v>5.2137643399999996E-3</v>
      </c>
      <c r="T217" s="1">
        <v>6.3291139199999997E-3</v>
      </c>
    </row>
    <row r="218" spans="1:20">
      <c r="A218">
        <v>9</v>
      </c>
      <c r="B218">
        <v>135788340</v>
      </c>
      <c r="C218" t="str">
        <f t="shared" si="9"/>
        <v>9:135788340</v>
      </c>
      <c r="D218">
        <v>4</v>
      </c>
      <c r="E218" s="1">
        <v>6.7264574000000001E-3</v>
      </c>
      <c r="F218">
        <v>3</v>
      </c>
      <c r="G218">
        <v>2</v>
      </c>
      <c r="H218" s="4">
        <v>0</v>
      </c>
      <c r="I218">
        <v>9</v>
      </c>
      <c r="J218">
        <v>-496</v>
      </c>
      <c r="K218">
        <v>0</v>
      </c>
      <c r="L218">
        <v>0</v>
      </c>
      <c r="M218">
        <v>0</v>
      </c>
      <c r="N218">
        <v>0</v>
      </c>
      <c r="O218" t="str">
        <f t="shared" si="10"/>
        <v>T</v>
      </c>
      <c r="P218" t="str">
        <f t="shared" si="11"/>
        <v>C</v>
      </c>
      <c r="Q218">
        <f>IF(M218=0,0,VLOOKUP(M218,'aa codes'!$A$1:'aa codes'!$B$21,2))</f>
        <v>0</v>
      </c>
      <c r="R218">
        <f>IF(N218=0,0,VLOOKUP(N218,'aa codes'!$A$1:'aa codes'!$B$21,2))</f>
        <v>0</v>
      </c>
      <c r="S218" s="1">
        <v>6.6115702499999996E-3</v>
      </c>
      <c r="T218" s="1">
        <v>6.7264574000000001E-3</v>
      </c>
    </row>
    <row r="219" spans="1:20">
      <c r="A219">
        <v>9</v>
      </c>
      <c r="B219">
        <v>135788342</v>
      </c>
      <c r="C219" t="str">
        <f t="shared" si="9"/>
        <v>9:135788342</v>
      </c>
      <c r="D219">
        <v>3</v>
      </c>
      <c r="E219" s="1">
        <v>1.7857142900000001E-2</v>
      </c>
      <c r="F219">
        <v>4</v>
      </c>
      <c r="G219">
        <v>2</v>
      </c>
      <c r="H219" s="4">
        <v>0</v>
      </c>
      <c r="I219">
        <v>9</v>
      </c>
      <c r="J219">
        <v>-498</v>
      </c>
      <c r="K219">
        <v>0</v>
      </c>
      <c r="L219">
        <v>0</v>
      </c>
      <c r="M219">
        <v>0</v>
      </c>
      <c r="N219">
        <v>0</v>
      </c>
      <c r="O219" t="str">
        <f t="shared" si="10"/>
        <v>C</v>
      </c>
      <c r="P219" t="str">
        <f t="shared" si="11"/>
        <v>T</v>
      </c>
      <c r="Q219">
        <f>IF(M219=0,0,VLOOKUP(M219,'aa codes'!$A$1:'aa codes'!$B$21,2))</f>
        <v>0</v>
      </c>
      <c r="R219">
        <f>IF(N219=0,0,VLOOKUP(N219,'aa codes'!$A$1:'aa codes'!$B$21,2))</f>
        <v>0</v>
      </c>
      <c r="S219" s="1">
        <v>1.7857142900000001E-2</v>
      </c>
      <c r="T219" s="1">
        <v>9.9255583100000006E-3</v>
      </c>
    </row>
    <row r="220" spans="1:20">
      <c r="A220">
        <v>9</v>
      </c>
      <c r="B220">
        <v>135788397</v>
      </c>
      <c r="C220" t="str">
        <f t="shared" si="9"/>
        <v>9:135788397</v>
      </c>
      <c r="D220">
        <v>2</v>
      </c>
      <c r="E220" s="1">
        <v>7.1428571400000002E-3</v>
      </c>
      <c r="F220">
        <v>1</v>
      </c>
      <c r="G220">
        <v>1</v>
      </c>
      <c r="H220" s="4">
        <v>0</v>
      </c>
      <c r="I220">
        <v>9</v>
      </c>
      <c r="J220">
        <v>-553</v>
      </c>
      <c r="K220">
        <v>0</v>
      </c>
      <c r="L220">
        <v>0</v>
      </c>
      <c r="M220">
        <v>0</v>
      </c>
      <c r="N220">
        <v>0</v>
      </c>
      <c r="O220" t="str">
        <f t="shared" si="10"/>
        <v>G</v>
      </c>
      <c r="P220" t="str">
        <f t="shared" si="11"/>
        <v>A</v>
      </c>
      <c r="Q220">
        <f>IF(M220=0,0,VLOOKUP(M220,'aa codes'!$A$1:'aa codes'!$B$21,2))</f>
        <v>0</v>
      </c>
      <c r="R220">
        <f>IF(N220=0,0,VLOOKUP(N220,'aa codes'!$A$1:'aa codes'!$B$21,2))</f>
        <v>0</v>
      </c>
      <c r="S220" s="1">
        <v>2.4449877799999999E-3</v>
      </c>
      <c r="T220" s="1">
        <v>7.1428571400000002E-3</v>
      </c>
    </row>
    <row r="221" spans="1:20">
      <c r="A221">
        <v>9</v>
      </c>
      <c r="B221">
        <v>135788428</v>
      </c>
      <c r="C221" t="str">
        <f t="shared" si="9"/>
        <v>9:135788428</v>
      </c>
      <c r="D221">
        <v>2</v>
      </c>
      <c r="E221" s="1">
        <v>5.5248618799999998E-3</v>
      </c>
      <c r="F221">
        <v>1</v>
      </c>
      <c r="G221">
        <v>1</v>
      </c>
      <c r="H221" s="4">
        <v>3.2499999999999997E-5</v>
      </c>
      <c r="I221">
        <v>9</v>
      </c>
      <c r="J221">
        <v>-584</v>
      </c>
      <c r="K221">
        <v>0</v>
      </c>
      <c r="L221">
        <v>0</v>
      </c>
      <c r="M221">
        <v>0</v>
      </c>
      <c r="N221">
        <v>0</v>
      </c>
      <c r="O221" t="str">
        <f t="shared" si="10"/>
        <v>G</v>
      </c>
      <c r="P221" t="str">
        <f t="shared" si="11"/>
        <v>A</v>
      </c>
      <c r="Q221">
        <f>IF(M221=0,0,VLOOKUP(M221,'aa codes'!$A$1:'aa codes'!$B$21,2))</f>
        <v>0</v>
      </c>
      <c r="R221">
        <f>IF(N221=0,0,VLOOKUP(N221,'aa codes'!$A$1:'aa codes'!$B$21,2))</f>
        <v>0</v>
      </c>
      <c r="S221" s="1">
        <v>5.5248618799999998E-3</v>
      </c>
      <c r="T221" s="1">
        <v>0</v>
      </c>
    </row>
    <row r="222" spans="1:20">
      <c r="A222">
        <v>9</v>
      </c>
      <c r="B222">
        <v>135788438</v>
      </c>
      <c r="C222" t="str">
        <f t="shared" si="9"/>
        <v>9:135788438</v>
      </c>
      <c r="D222">
        <v>2</v>
      </c>
      <c r="E222" s="1">
        <v>5.8479532200000003E-3</v>
      </c>
      <c r="F222">
        <v>1</v>
      </c>
      <c r="G222">
        <v>1</v>
      </c>
      <c r="H222" s="4">
        <v>0</v>
      </c>
      <c r="I222">
        <v>9</v>
      </c>
      <c r="J222">
        <v>-594</v>
      </c>
      <c r="K222">
        <v>0</v>
      </c>
      <c r="L222">
        <v>0</v>
      </c>
      <c r="M222">
        <v>0</v>
      </c>
      <c r="N222">
        <v>0</v>
      </c>
      <c r="O222" t="str">
        <f t="shared" si="10"/>
        <v>G</v>
      </c>
      <c r="P222" t="str">
        <f t="shared" si="11"/>
        <v>A</v>
      </c>
      <c r="Q222">
        <f>IF(M222=0,0,VLOOKUP(M222,'aa codes'!$A$1:'aa codes'!$B$21,2))</f>
        <v>0</v>
      </c>
      <c r="R222">
        <f>IF(N222=0,0,VLOOKUP(N222,'aa codes'!$A$1:'aa codes'!$B$21,2))</f>
        <v>0</v>
      </c>
      <c r="S222" s="1">
        <v>0</v>
      </c>
      <c r="T222" s="1">
        <v>5.8479532200000003E-3</v>
      </c>
    </row>
    <row r="223" spans="1:20">
      <c r="A223">
        <v>9</v>
      </c>
      <c r="B223">
        <v>135788442</v>
      </c>
      <c r="C223" t="str">
        <f t="shared" si="9"/>
        <v>9:135788442</v>
      </c>
      <c r="D223">
        <v>3</v>
      </c>
      <c r="E223" s="1">
        <v>6.0606060600000003E-3</v>
      </c>
      <c r="F223">
        <v>1</v>
      </c>
      <c r="G223">
        <v>1</v>
      </c>
      <c r="H223" s="4">
        <v>0</v>
      </c>
      <c r="I223">
        <v>9</v>
      </c>
      <c r="J223">
        <v>-598</v>
      </c>
      <c r="K223">
        <v>0</v>
      </c>
      <c r="L223">
        <v>0</v>
      </c>
      <c r="M223">
        <v>0</v>
      </c>
      <c r="N223">
        <v>0</v>
      </c>
      <c r="O223" t="str">
        <f t="shared" si="10"/>
        <v>C</v>
      </c>
      <c r="P223" t="str">
        <f t="shared" si="11"/>
        <v>A</v>
      </c>
      <c r="Q223">
        <f>IF(M223=0,0,VLOOKUP(M223,'aa codes'!$A$1:'aa codes'!$B$21,2))</f>
        <v>0</v>
      </c>
      <c r="R223">
        <f>IF(N223=0,0,VLOOKUP(N223,'aa codes'!$A$1:'aa codes'!$B$21,2))</f>
        <v>0</v>
      </c>
      <c r="S223" s="1">
        <v>0</v>
      </c>
      <c r="T223" s="1">
        <v>6.0606060600000003E-3</v>
      </c>
    </row>
    <row r="224" spans="1:20">
      <c r="A224">
        <v>9</v>
      </c>
      <c r="B224">
        <v>135788444</v>
      </c>
      <c r="C224" t="str">
        <f t="shared" si="9"/>
        <v>9:135788444</v>
      </c>
      <c r="D224">
        <v>2</v>
      </c>
      <c r="E224" s="1">
        <v>5.9171597600000004E-3</v>
      </c>
      <c r="F224">
        <v>4</v>
      </c>
      <c r="G224">
        <v>1</v>
      </c>
      <c r="H224" s="4">
        <v>0</v>
      </c>
      <c r="I224">
        <v>9</v>
      </c>
      <c r="J224">
        <v>-600</v>
      </c>
      <c r="K224">
        <v>0</v>
      </c>
      <c r="L224">
        <v>0</v>
      </c>
      <c r="M224">
        <v>0</v>
      </c>
      <c r="N224">
        <v>0</v>
      </c>
      <c r="O224" t="str">
        <f t="shared" si="10"/>
        <v>G</v>
      </c>
      <c r="P224" t="str">
        <f t="shared" si="11"/>
        <v>T</v>
      </c>
      <c r="Q224">
        <f>IF(M224=0,0,VLOOKUP(M224,'aa codes'!$A$1:'aa codes'!$B$21,2))</f>
        <v>0</v>
      </c>
      <c r="R224">
        <f>IF(N224=0,0,VLOOKUP(N224,'aa codes'!$A$1:'aa codes'!$B$21,2))</f>
        <v>0</v>
      </c>
      <c r="S224" s="1">
        <v>5.9171597600000004E-3</v>
      </c>
      <c r="T224" s="1">
        <v>0</v>
      </c>
    </row>
    <row r="225" spans="1:20">
      <c r="A225">
        <v>9</v>
      </c>
      <c r="B225">
        <v>135788455</v>
      </c>
      <c r="C225" t="str">
        <f t="shared" si="9"/>
        <v>9:135788455</v>
      </c>
      <c r="D225">
        <v>1</v>
      </c>
      <c r="E225" s="1">
        <v>5.9171597600000004E-3</v>
      </c>
      <c r="F225">
        <v>2</v>
      </c>
      <c r="G225">
        <v>1</v>
      </c>
      <c r="H225" s="4">
        <v>0</v>
      </c>
      <c r="I225">
        <v>9</v>
      </c>
      <c r="J225">
        <v>-611</v>
      </c>
      <c r="K225">
        <v>0</v>
      </c>
      <c r="L225">
        <v>0</v>
      </c>
      <c r="M225">
        <v>0</v>
      </c>
      <c r="N225">
        <v>0</v>
      </c>
      <c r="O225" t="str">
        <f t="shared" si="10"/>
        <v>A</v>
      </c>
      <c r="P225" t="str">
        <f t="shared" si="11"/>
        <v>G</v>
      </c>
      <c r="Q225">
        <f>IF(M225=0,0,VLOOKUP(M225,'aa codes'!$A$1:'aa codes'!$B$21,2))</f>
        <v>0</v>
      </c>
      <c r="R225">
        <f>IF(N225=0,0,VLOOKUP(N225,'aa codes'!$A$1:'aa codes'!$B$21,2))</f>
        <v>0</v>
      </c>
      <c r="S225" s="1">
        <v>0</v>
      </c>
      <c r="T225" s="1">
        <v>5.9171597600000004E-3</v>
      </c>
    </row>
    <row r="226" spans="1:20">
      <c r="A226">
        <v>9</v>
      </c>
      <c r="B226">
        <v>135788470</v>
      </c>
      <c r="C226" t="str">
        <f t="shared" si="9"/>
        <v>9:135788470</v>
      </c>
      <c r="D226">
        <v>3</v>
      </c>
      <c r="E226" s="1">
        <v>6.2305295999999996E-3</v>
      </c>
      <c r="F226">
        <v>4</v>
      </c>
      <c r="G226">
        <v>1</v>
      </c>
      <c r="H226" s="4">
        <v>0</v>
      </c>
      <c r="I226">
        <v>9</v>
      </c>
      <c r="J226">
        <v>-626</v>
      </c>
      <c r="K226">
        <v>0</v>
      </c>
      <c r="L226">
        <v>0</v>
      </c>
      <c r="M226">
        <v>0</v>
      </c>
      <c r="N226">
        <v>0</v>
      </c>
      <c r="O226" t="str">
        <f t="shared" si="10"/>
        <v>C</v>
      </c>
      <c r="P226" t="str">
        <f t="shared" si="11"/>
        <v>T</v>
      </c>
      <c r="Q226">
        <f>IF(M226=0,0,VLOOKUP(M226,'aa codes'!$A$1:'aa codes'!$B$21,2))</f>
        <v>0</v>
      </c>
      <c r="R226">
        <f>IF(N226=0,0,VLOOKUP(N226,'aa codes'!$A$1:'aa codes'!$B$21,2))</f>
        <v>0</v>
      </c>
      <c r="S226" s="1">
        <v>6.2305295999999996E-3</v>
      </c>
      <c r="T226" s="1">
        <v>0</v>
      </c>
    </row>
    <row r="227" spans="1:20">
      <c r="A227">
        <v>9</v>
      </c>
      <c r="B227">
        <v>135788483</v>
      </c>
      <c r="C227" t="str">
        <f t="shared" si="9"/>
        <v>9:135788483</v>
      </c>
      <c r="D227">
        <v>2</v>
      </c>
      <c r="E227" s="1">
        <v>6.3897763600000001E-3</v>
      </c>
      <c r="F227">
        <v>1</v>
      </c>
      <c r="G227">
        <v>1</v>
      </c>
      <c r="H227" s="4">
        <v>0</v>
      </c>
      <c r="I227">
        <v>9</v>
      </c>
      <c r="J227">
        <v>-639</v>
      </c>
      <c r="K227">
        <v>0</v>
      </c>
      <c r="L227">
        <v>0</v>
      </c>
      <c r="M227">
        <v>0</v>
      </c>
      <c r="N227">
        <v>0</v>
      </c>
      <c r="O227" t="str">
        <f t="shared" si="10"/>
        <v>G</v>
      </c>
      <c r="P227" t="str">
        <f t="shared" si="11"/>
        <v>A</v>
      </c>
      <c r="Q227">
        <f>IF(M227=0,0,VLOOKUP(M227,'aa codes'!$A$1:'aa codes'!$B$21,2))</f>
        <v>0</v>
      </c>
      <c r="R227">
        <f>IF(N227=0,0,VLOOKUP(N227,'aa codes'!$A$1:'aa codes'!$B$21,2))</f>
        <v>0</v>
      </c>
      <c r="S227" s="1">
        <v>6.3897763600000001E-3</v>
      </c>
      <c r="T227" s="1">
        <v>0</v>
      </c>
    </row>
    <row r="228" spans="1:20">
      <c r="A228">
        <v>9</v>
      </c>
      <c r="B228">
        <v>135788498</v>
      </c>
      <c r="C228" t="str">
        <f t="shared" si="9"/>
        <v>9:135788498</v>
      </c>
      <c r="D228">
        <v>4</v>
      </c>
      <c r="E228" s="1">
        <v>5.5248618799999998E-3</v>
      </c>
      <c r="F228">
        <v>3</v>
      </c>
      <c r="G228">
        <v>1</v>
      </c>
      <c r="H228" s="4">
        <v>0</v>
      </c>
      <c r="I228">
        <v>9</v>
      </c>
      <c r="J228">
        <v>-654</v>
      </c>
      <c r="K228">
        <v>0</v>
      </c>
      <c r="L228">
        <v>0</v>
      </c>
      <c r="M228">
        <v>0</v>
      </c>
      <c r="N228">
        <v>0</v>
      </c>
      <c r="O228" t="str">
        <f t="shared" si="10"/>
        <v>T</v>
      </c>
      <c r="P228" t="str">
        <f t="shared" si="11"/>
        <v>C</v>
      </c>
      <c r="Q228">
        <f>IF(M228=0,0,VLOOKUP(M228,'aa codes'!$A$1:'aa codes'!$B$21,2))</f>
        <v>0</v>
      </c>
      <c r="R228">
        <f>IF(N228=0,0,VLOOKUP(N228,'aa codes'!$A$1:'aa codes'!$B$21,2))</f>
        <v>0</v>
      </c>
      <c r="S228" s="1">
        <v>0</v>
      </c>
      <c r="T228" s="1">
        <v>5.5248618799999998E-3</v>
      </c>
    </row>
    <row r="229" spans="1:20">
      <c r="A229">
        <v>9</v>
      </c>
      <c r="B229">
        <v>135788529</v>
      </c>
      <c r="C229" t="str">
        <f t="shared" si="9"/>
        <v>9:135788529</v>
      </c>
      <c r="D229">
        <v>4</v>
      </c>
      <c r="E229" s="1">
        <v>8.7336244499999997E-3</v>
      </c>
      <c r="F229">
        <v>2</v>
      </c>
      <c r="G229">
        <v>1</v>
      </c>
      <c r="H229" s="4">
        <v>0</v>
      </c>
      <c r="I229">
        <v>9</v>
      </c>
      <c r="J229">
        <v>-685</v>
      </c>
      <c r="K229">
        <v>0</v>
      </c>
      <c r="L229">
        <v>0</v>
      </c>
      <c r="M229">
        <v>0</v>
      </c>
      <c r="N229">
        <v>0</v>
      </c>
      <c r="O229" t="str">
        <f t="shared" si="10"/>
        <v>T</v>
      </c>
      <c r="P229" t="str">
        <f t="shared" si="11"/>
        <v>G</v>
      </c>
      <c r="Q229">
        <f>IF(M229=0,0,VLOOKUP(M229,'aa codes'!$A$1:'aa codes'!$B$21,2))</f>
        <v>0</v>
      </c>
      <c r="R229">
        <f>IF(N229=0,0,VLOOKUP(N229,'aa codes'!$A$1:'aa codes'!$B$21,2))</f>
        <v>0</v>
      </c>
      <c r="S229" s="1">
        <v>0</v>
      </c>
      <c r="T229" s="1">
        <v>8.7336244499999997E-3</v>
      </c>
    </row>
    <row r="230" spans="1:20">
      <c r="A230">
        <v>9</v>
      </c>
      <c r="B230">
        <v>135788557</v>
      </c>
      <c r="C230" t="str">
        <f t="shared" si="9"/>
        <v>9:135788557</v>
      </c>
      <c r="D230">
        <v>4</v>
      </c>
      <c r="E230" s="1">
        <v>7.8431372499999999E-3</v>
      </c>
      <c r="F230">
        <v>3</v>
      </c>
      <c r="G230">
        <v>1</v>
      </c>
      <c r="H230" s="4">
        <v>0</v>
      </c>
      <c r="I230">
        <v>9</v>
      </c>
      <c r="J230">
        <v>-713</v>
      </c>
      <c r="K230">
        <v>0</v>
      </c>
      <c r="L230">
        <v>0</v>
      </c>
      <c r="M230">
        <v>0</v>
      </c>
      <c r="N230">
        <v>0</v>
      </c>
      <c r="O230" t="str">
        <f t="shared" si="10"/>
        <v>T</v>
      </c>
      <c r="P230" t="str">
        <f t="shared" si="11"/>
        <v>C</v>
      </c>
      <c r="Q230">
        <f>IF(M230=0,0,VLOOKUP(M230,'aa codes'!$A$1:'aa codes'!$B$21,2))</f>
        <v>0</v>
      </c>
      <c r="R230">
        <f>IF(N230=0,0,VLOOKUP(N230,'aa codes'!$A$1:'aa codes'!$B$21,2))</f>
        <v>0</v>
      </c>
      <c r="S230" s="1">
        <v>0</v>
      </c>
      <c r="T230" s="1">
        <v>7.8431372499999999E-3</v>
      </c>
    </row>
    <row r="231" spans="1:20">
      <c r="A231">
        <v>9</v>
      </c>
      <c r="B231">
        <v>135788566</v>
      </c>
      <c r="C231" t="str">
        <f t="shared" si="9"/>
        <v>9:135788566</v>
      </c>
      <c r="D231">
        <v>3</v>
      </c>
      <c r="E231" s="1">
        <v>7.1428571400000002E-3</v>
      </c>
      <c r="F231">
        <v>4</v>
      </c>
      <c r="G231">
        <v>1</v>
      </c>
      <c r="H231" s="4">
        <v>0</v>
      </c>
      <c r="I231">
        <v>9</v>
      </c>
      <c r="J231">
        <v>-722</v>
      </c>
      <c r="K231">
        <v>0</v>
      </c>
      <c r="L231">
        <v>0</v>
      </c>
      <c r="M231">
        <v>0</v>
      </c>
      <c r="N231">
        <v>0</v>
      </c>
      <c r="O231" t="str">
        <f t="shared" si="10"/>
        <v>C</v>
      </c>
      <c r="P231" t="str">
        <f t="shared" si="11"/>
        <v>T</v>
      </c>
      <c r="Q231">
        <f>IF(M231=0,0,VLOOKUP(M231,'aa codes'!$A$1:'aa codes'!$B$21,2))</f>
        <v>0</v>
      </c>
      <c r="R231">
        <f>IF(N231=0,0,VLOOKUP(N231,'aa codes'!$A$1:'aa codes'!$B$21,2))</f>
        <v>0</v>
      </c>
      <c r="S231" s="1">
        <v>0</v>
      </c>
      <c r="T231" s="1">
        <v>7.1428571400000002E-3</v>
      </c>
    </row>
    <row r="232" spans="1:20">
      <c r="A232">
        <v>9</v>
      </c>
      <c r="B232">
        <v>135789036</v>
      </c>
      <c r="C232" t="str">
        <f t="shared" si="9"/>
        <v>9:135789036</v>
      </c>
      <c r="D232">
        <v>3</v>
      </c>
      <c r="E232" s="1">
        <v>6.1349693300000001E-3</v>
      </c>
      <c r="F232">
        <v>1</v>
      </c>
      <c r="G232">
        <v>1</v>
      </c>
      <c r="H232" s="4">
        <v>0</v>
      </c>
      <c r="I232">
        <v>9</v>
      </c>
      <c r="J232">
        <v>-1192</v>
      </c>
      <c r="K232">
        <v>0</v>
      </c>
      <c r="L232">
        <v>0</v>
      </c>
      <c r="M232">
        <v>0</v>
      </c>
      <c r="N232">
        <v>0</v>
      </c>
      <c r="O232" t="str">
        <f t="shared" si="10"/>
        <v>C</v>
      </c>
      <c r="P232" t="str">
        <f t="shared" si="11"/>
        <v>A</v>
      </c>
      <c r="Q232">
        <f>IF(M232=0,0,VLOOKUP(M232,'aa codes'!$A$1:'aa codes'!$B$21,2))</f>
        <v>0</v>
      </c>
      <c r="R232">
        <f>IF(N232=0,0,VLOOKUP(N232,'aa codes'!$A$1:'aa codes'!$B$21,2))</f>
        <v>0</v>
      </c>
      <c r="S232" s="1">
        <v>0</v>
      </c>
      <c r="T232" s="1">
        <v>6.1349693300000001E-3</v>
      </c>
    </row>
    <row r="233" spans="1:20">
      <c r="A233">
        <v>9</v>
      </c>
      <c r="B233">
        <v>135789038</v>
      </c>
      <c r="C233" t="str">
        <f t="shared" si="9"/>
        <v>9:135789038</v>
      </c>
      <c r="D233">
        <v>3</v>
      </c>
      <c r="E233" s="1">
        <v>6.1349693300000001E-3</v>
      </c>
      <c r="F233">
        <v>4</v>
      </c>
      <c r="G233">
        <v>1</v>
      </c>
      <c r="H233" s="4">
        <v>0</v>
      </c>
      <c r="I233">
        <v>9</v>
      </c>
      <c r="J233">
        <v>-1194</v>
      </c>
      <c r="K233">
        <v>0</v>
      </c>
      <c r="L233">
        <v>0</v>
      </c>
      <c r="M233">
        <v>0</v>
      </c>
      <c r="N233">
        <v>0</v>
      </c>
      <c r="O233" t="str">
        <f t="shared" si="10"/>
        <v>C</v>
      </c>
      <c r="P233" t="str">
        <f t="shared" si="11"/>
        <v>T</v>
      </c>
      <c r="Q233">
        <f>IF(M233=0,0,VLOOKUP(M233,'aa codes'!$A$1:'aa codes'!$B$21,2))</f>
        <v>0</v>
      </c>
      <c r="R233">
        <f>IF(N233=0,0,VLOOKUP(N233,'aa codes'!$A$1:'aa codes'!$B$21,2))</f>
        <v>0</v>
      </c>
      <c r="S233" s="1">
        <v>0</v>
      </c>
      <c r="T233" s="1">
        <v>6.1349693300000001E-3</v>
      </c>
    </row>
    <row r="234" spans="1:20">
      <c r="A234">
        <v>9</v>
      </c>
      <c r="B234">
        <v>135789043</v>
      </c>
      <c r="C234" t="str">
        <f t="shared" si="9"/>
        <v>9:135789043</v>
      </c>
      <c r="D234">
        <v>4</v>
      </c>
      <c r="E234" s="1">
        <v>5.98802395E-3</v>
      </c>
      <c r="F234">
        <v>3</v>
      </c>
      <c r="G234">
        <v>1</v>
      </c>
      <c r="H234" s="4">
        <v>0</v>
      </c>
      <c r="I234">
        <v>9</v>
      </c>
      <c r="J234">
        <v>-1199</v>
      </c>
      <c r="K234">
        <v>0</v>
      </c>
      <c r="L234">
        <v>0</v>
      </c>
      <c r="M234">
        <v>0</v>
      </c>
      <c r="N234">
        <v>0</v>
      </c>
      <c r="O234" t="str">
        <f t="shared" si="10"/>
        <v>T</v>
      </c>
      <c r="P234" t="str">
        <f t="shared" si="11"/>
        <v>C</v>
      </c>
      <c r="Q234">
        <f>IF(M234=0,0,VLOOKUP(M234,'aa codes'!$A$1:'aa codes'!$B$21,2))</f>
        <v>0</v>
      </c>
      <c r="R234">
        <f>IF(N234=0,0,VLOOKUP(N234,'aa codes'!$A$1:'aa codes'!$B$21,2))</f>
        <v>0</v>
      </c>
      <c r="S234" s="1">
        <v>0</v>
      </c>
      <c r="T234" s="1">
        <v>5.98802395E-3</v>
      </c>
    </row>
    <row r="235" spans="1:20">
      <c r="A235">
        <v>9</v>
      </c>
      <c r="B235">
        <v>135789046</v>
      </c>
      <c r="C235" t="str">
        <f t="shared" si="9"/>
        <v>9:135789046</v>
      </c>
      <c r="D235">
        <v>4</v>
      </c>
      <c r="E235" s="1">
        <v>5.7803468199999998E-3</v>
      </c>
      <c r="F235">
        <v>1</v>
      </c>
      <c r="G235">
        <v>1</v>
      </c>
      <c r="H235" s="4">
        <v>0</v>
      </c>
      <c r="I235">
        <v>9</v>
      </c>
      <c r="J235">
        <v>-1202</v>
      </c>
      <c r="K235">
        <v>0</v>
      </c>
      <c r="L235">
        <v>0</v>
      </c>
      <c r="M235">
        <v>0</v>
      </c>
      <c r="N235">
        <v>0</v>
      </c>
      <c r="O235" t="str">
        <f t="shared" si="10"/>
        <v>T</v>
      </c>
      <c r="P235" t="str">
        <f t="shared" si="11"/>
        <v>A</v>
      </c>
      <c r="Q235">
        <f>IF(M235=0,0,VLOOKUP(M235,'aa codes'!$A$1:'aa codes'!$B$21,2))</f>
        <v>0</v>
      </c>
      <c r="R235">
        <f>IF(N235=0,0,VLOOKUP(N235,'aa codes'!$A$1:'aa codes'!$B$21,2))</f>
        <v>0</v>
      </c>
      <c r="S235" s="1">
        <v>0</v>
      </c>
      <c r="T235" s="1">
        <v>5.7803468199999998E-3</v>
      </c>
    </row>
    <row r="236" spans="1:20">
      <c r="A236">
        <v>9</v>
      </c>
      <c r="B236">
        <v>135789048</v>
      </c>
      <c r="C236" t="str">
        <f t="shared" si="9"/>
        <v>9:135789048</v>
      </c>
      <c r="D236">
        <v>3</v>
      </c>
      <c r="E236" s="1">
        <v>5.9171597600000004E-3</v>
      </c>
      <c r="F236">
        <v>1</v>
      </c>
      <c r="G236">
        <v>1</v>
      </c>
      <c r="H236" s="4">
        <v>0</v>
      </c>
      <c r="I236">
        <v>9</v>
      </c>
      <c r="J236">
        <v>-1204</v>
      </c>
      <c r="K236">
        <v>0</v>
      </c>
      <c r="L236">
        <v>0</v>
      </c>
      <c r="M236">
        <v>0</v>
      </c>
      <c r="N236">
        <v>0</v>
      </c>
      <c r="O236" t="str">
        <f t="shared" si="10"/>
        <v>C</v>
      </c>
      <c r="P236" t="str">
        <f t="shared" si="11"/>
        <v>A</v>
      </c>
      <c r="Q236">
        <f>IF(M236=0,0,VLOOKUP(M236,'aa codes'!$A$1:'aa codes'!$B$21,2))</f>
        <v>0</v>
      </c>
      <c r="R236">
        <f>IF(N236=0,0,VLOOKUP(N236,'aa codes'!$A$1:'aa codes'!$B$21,2))</f>
        <v>0</v>
      </c>
      <c r="S236" s="1">
        <v>0</v>
      </c>
      <c r="T236" s="1">
        <v>5.9171597600000004E-3</v>
      </c>
    </row>
    <row r="237" spans="1:20">
      <c r="A237">
        <v>9</v>
      </c>
      <c r="B237">
        <v>135789049</v>
      </c>
      <c r="C237" t="str">
        <f t="shared" si="9"/>
        <v>9:135789049</v>
      </c>
      <c r="D237">
        <v>4</v>
      </c>
      <c r="E237" s="1">
        <v>5.8479532200000003E-3</v>
      </c>
      <c r="F237">
        <v>1</v>
      </c>
      <c r="G237">
        <v>1</v>
      </c>
      <c r="H237" s="4">
        <v>0</v>
      </c>
      <c r="I237">
        <v>9</v>
      </c>
      <c r="J237">
        <v>-1205</v>
      </c>
      <c r="K237">
        <v>0</v>
      </c>
      <c r="L237">
        <v>0</v>
      </c>
      <c r="M237">
        <v>0</v>
      </c>
      <c r="N237">
        <v>0</v>
      </c>
      <c r="O237" t="str">
        <f t="shared" si="10"/>
        <v>T</v>
      </c>
      <c r="P237" t="str">
        <f t="shared" si="11"/>
        <v>A</v>
      </c>
      <c r="Q237">
        <f>IF(M237=0,0,VLOOKUP(M237,'aa codes'!$A$1:'aa codes'!$B$21,2))</f>
        <v>0</v>
      </c>
      <c r="R237">
        <f>IF(N237=0,0,VLOOKUP(N237,'aa codes'!$A$1:'aa codes'!$B$21,2))</f>
        <v>0</v>
      </c>
      <c r="S237" s="1">
        <v>0</v>
      </c>
      <c r="T237" s="1">
        <v>5.8479532200000003E-3</v>
      </c>
    </row>
    <row r="238" spans="1:20">
      <c r="A238">
        <v>9</v>
      </c>
      <c r="B238">
        <v>135789055</v>
      </c>
      <c r="C238" t="str">
        <f t="shared" si="9"/>
        <v>9:135789055</v>
      </c>
      <c r="D238">
        <v>4</v>
      </c>
      <c r="E238" s="1">
        <v>6.0606060600000003E-3</v>
      </c>
      <c r="F238">
        <v>1</v>
      </c>
      <c r="G238">
        <v>1</v>
      </c>
      <c r="H238" s="4">
        <v>0</v>
      </c>
      <c r="I238">
        <v>9</v>
      </c>
      <c r="J238">
        <v>-1211</v>
      </c>
      <c r="K238">
        <v>0</v>
      </c>
      <c r="L238">
        <v>0</v>
      </c>
      <c r="M238">
        <v>0</v>
      </c>
      <c r="N238">
        <v>0</v>
      </c>
      <c r="O238" t="str">
        <f t="shared" si="10"/>
        <v>T</v>
      </c>
      <c r="P238" t="str">
        <f t="shared" si="11"/>
        <v>A</v>
      </c>
      <c r="Q238">
        <f>IF(M238=0,0,VLOOKUP(M238,'aa codes'!$A$1:'aa codes'!$B$21,2))</f>
        <v>0</v>
      </c>
      <c r="R238">
        <f>IF(N238=0,0,VLOOKUP(N238,'aa codes'!$A$1:'aa codes'!$B$21,2))</f>
        <v>0</v>
      </c>
      <c r="S238" s="1">
        <v>2.9585798800000002E-3</v>
      </c>
      <c r="T238" s="1">
        <v>6.0606060600000003E-3</v>
      </c>
    </row>
    <row r="239" spans="1:20">
      <c r="A239">
        <v>9</v>
      </c>
      <c r="B239">
        <v>135789057</v>
      </c>
      <c r="C239" t="str">
        <f t="shared" si="9"/>
        <v>9:135789057</v>
      </c>
      <c r="D239">
        <v>3</v>
      </c>
      <c r="E239" s="1">
        <v>6.0240963899999998E-3</v>
      </c>
      <c r="F239">
        <v>1</v>
      </c>
      <c r="G239">
        <v>1</v>
      </c>
      <c r="H239" s="4">
        <v>0</v>
      </c>
      <c r="I239">
        <v>9</v>
      </c>
      <c r="J239">
        <v>-1213</v>
      </c>
      <c r="K239">
        <v>0</v>
      </c>
      <c r="L239">
        <v>0</v>
      </c>
      <c r="M239">
        <v>0</v>
      </c>
      <c r="N239">
        <v>0</v>
      </c>
      <c r="O239" t="str">
        <f t="shared" si="10"/>
        <v>C</v>
      </c>
      <c r="P239" t="str">
        <f t="shared" si="11"/>
        <v>A</v>
      </c>
      <c r="Q239">
        <f>IF(M239=0,0,VLOOKUP(M239,'aa codes'!$A$1:'aa codes'!$B$21,2))</f>
        <v>0</v>
      </c>
      <c r="R239">
        <f>IF(N239=0,0,VLOOKUP(N239,'aa codes'!$A$1:'aa codes'!$B$21,2))</f>
        <v>0</v>
      </c>
      <c r="S239" s="1">
        <v>3.0211480399999998E-3</v>
      </c>
      <c r="T239" s="1">
        <v>6.0240963899999998E-3</v>
      </c>
    </row>
    <row r="240" spans="1:20">
      <c r="A240">
        <v>9</v>
      </c>
      <c r="B240">
        <v>135789212</v>
      </c>
      <c r="C240" t="str">
        <f t="shared" si="9"/>
        <v>9:135789212</v>
      </c>
      <c r="D240">
        <v>3</v>
      </c>
      <c r="E240" s="1">
        <v>0.13793103400000001</v>
      </c>
      <c r="F240">
        <v>1</v>
      </c>
      <c r="G240">
        <v>2</v>
      </c>
      <c r="H240" s="4">
        <v>0</v>
      </c>
      <c r="I240">
        <v>9</v>
      </c>
      <c r="J240">
        <v>-1368</v>
      </c>
      <c r="K240">
        <v>0</v>
      </c>
      <c r="L240">
        <v>0</v>
      </c>
      <c r="M240">
        <v>0</v>
      </c>
      <c r="N240">
        <v>0</v>
      </c>
      <c r="O240" t="str">
        <f t="shared" si="10"/>
        <v>C</v>
      </c>
      <c r="P240" t="str">
        <f t="shared" si="11"/>
        <v>A</v>
      </c>
      <c r="Q240">
        <f>IF(M240=0,0,VLOOKUP(M240,'aa codes'!$A$1:'aa codes'!$B$21,2))</f>
        <v>0</v>
      </c>
      <c r="R240">
        <f>IF(N240=0,0,VLOOKUP(N240,'aa codes'!$A$1:'aa codes'!$B$21,2))</f>
        <v>0</v>
      </c>
      <c r="S240" s="1">
        <v>2.5641025599999999E-2</v>
      </c>
      <c r="T240" s="1">
        <v>0.13793103400000001</v>
      </c>
    </row>
    <row r="241" spans="1:20">
      <c r="A241">
        <v>9</v>
      </c>
      <c r="B241">
        <v>135789336</v>
      </c>
      <c r="C241" t="str">
        <f t="shared" si="9"/>
        <v>9:135789336</v>
      </c>
      <c r="D241">
        <v>1</v>
      </c>
      <c r="E241" s="1">
        <v>4.16666667E-2</v>
      </c>
      <c r="F241">
        <v>2</v>
      </c>
      <c r="G241">
        <v>1</v>
      </c>
      <c r="H241" s="4">
        <v>0</v>
      </c>
      <c r="I241">
        <v>9</v>
      </c>
      <c r="J241">
        <v>-1492</v>
      </c>
      <c r="K241">
        <v>0</v>
      </c>
      <c r="L241">
        <v>0</v>
      </c>
      <c r="M241">
        <v>0</v>
      </c>
      <c r="N241">
        <v>0</v>
      </c>
      <c r="O241" t="str">
        <f t="shared" si="10"/>
        <v>A</v>
      </c>
      <c r="P241" t="str">
        <f t="shared" si="11"/>
        <v>G</v>
      </c>
      <c r="Q241">
        <f>IF(M241=0,0,VLOOKUP(M241,'aa codes'!$A$1:'aa codes'!$B$21,2))</f>
        <v>0</v>
      </c>
      <c r="R241">
        <f>IF(N241=0,0,VLOOKUP(N241,'aa codes'!$A$1:'aa codes'!$B$21,2))</f>
        <v>0</v>
      </c>
      <c r="S241" s="1">
        <v>0</v>
      </c>
      <c r="T241" s="1">
        <v>4.16666667E-2</v>
      </c>
    </row>
    <row r="242" spans="1:20">
      <c r="A242">
        <v>9</v>
      </c>
      <c r="B242">
        <v>135789538</v>
      </c>
      <c r="C242" t="str">
        <f t="shared" si="9"/>
        <v>9:135789538</v>
      </c>
      <c r="D242">
        <v>4</v>
      </c>
      <c r="E242" s="1">
        <v>6.1349693300000001E-3</v>
      </c>
      <c r="F242">
        <v>3</v>
      </c>
      <c r="G242">
        <v>1</v>
      </c>
      <c r="H242" s="4">
        <v>0</v>
      </c>
      <c r="I242">
        <v>9</v>
      </c>
      <c r="J242">
        <v>-1694</v>
      </c>
      <c r="K242">
        <v>0</v>
      </c>
      <c r="L242">
        <v>0</v>
      </c>
      <c r="M242">
        <v>0</v>
      </c>
      <c r="N242">
        <v>0</v>
      </c>
      <c r="O242" t="str">
        <f t="shared" si="10"/>
        <v>T</v>
      </c>
      <c r="P242" t="str">
        <f t="shared" si="11"/>
        <v>C</v>
      </c>
      <c r="Q242">
        <f>IF(M242=0,0,VLOOKUP(M242,'aa codes'!$A$1:'aa codes'!$B$21,2))</f>
        <v>0</v>
      </c>
      <c r="R242">
        <f>IF(N242=0,0,VLOOKUP(N242,'aa codes'!$A$1:'aa codes'!$B$21,2))</f>
        <v>0</v>
      </c>
      <c r="S242" s="1">
        <v>0</v>
      </c>
      <c r="T242" s="1">
        <v>6.1349693300000001E-3</v>
      </c>
    </row>
    <row r="243" spans="1:20">
      <c r="A243">
        <v>9</v>
      </c>
      <c r="B243">
        <v>135790007</v>
      </c>
      <c r="C243" t="str">
        <f t="shared" si="9"/>
        <v>9:135790007</v>
      </c>
      <c r="D243">
        <v>4</v>
      </c>
      <c r="E243" s="1">
        <v>7.10900474E-3</v>
      </c>
      <c r="F243">
        <v>1</v>
      </c>
      <c r="G243">
        <v>1</v>
      </c>
      <c r="H243" s="4">
        <v>0</v>
      </c>
      <c r="I243">
        <v>9</v>
      </c>
      <c r="J243">
        <v>-2163</v>
      </c>
      <c r="K243">
        <v>0</v>
      </c>
      <c r="L243">
        <v>0</v>
      </c>
      <c r="M243">
        <v>0</v>
      </c>
      <c r="N243">
        <v>0</v>
      </c>
      <c r="O243" t="str">
        <f t="shared" si="10"/>
        <v>T</v>
      </c>
      <c r="P243" t="str">
        <f t="shared" si="11"/>
        <v>A</v>
      </c>
      <c r="Q243">
        <f>IF(M243=0,0,VLOOKUP(M243,'aa codes'!$A$1:'aa codes'!$B$21,2))</f>
        <v>0</v>
      </c>
      <c r="R243">
        <f>IF(N243=0,0,VLOOKUP(N243,'aa codes'!$A$1:'aa codes'!$B$21,2))</f>
        <v>0</v>
      </c>
      <c r="S243" s="1">
        <v>0</v>
      </c>
      <c r="T243" s="1">
        <v>7.10900474E-3</v>
      </c>
    </row>
    <row r="244" spans="1:20">
      <c r="A244">
        <v>9</v>
      </c>
      <c r="B244">
        <v>135790021</v>
      </c>
      <c r="C244" t="str">
        <f t="shared" si="9"/>
        <v>9:135790021</v>
      </c>
      <c r="D244">
        <v>2</v>
      </c>
      <c r="E244" s="1">
        <v>5.1948051900000004E-3</v>
      </c>
      <c r="F244">
        <v>1</v>
      </c>
      <c r="G244">
        <v>1</v>
      </c>
      <c r="H244" s="4">
        <v>0</v>
      </c>
      <c r="I244">
        <v>9</v>
      </c>
      <c r="J244">
        <v>-2177</v>
      </c>
      <c r="K244">
        <v>0</v>
      </c>
      <c r="L244">
        <v>0</v>
      </c>
      <c r="M244">
        <v>0</v>
      </c>
      <c r="N244">
        <v>0</v>
      </c>
      <c r="O244" t="str">
        <f t="shared" si="10"/>
        <v>G</v>
      </c>
      <c r="P244" t="str">
        <f t="shared" si="11"/>
        <v>A</v>
      </c>
      <c r="Q244">
        <f>IF(M244=0,0,VLOOKUP(M244,'aa codes'!$A$1:'aa codes'!$B$21,2))</f>
        <v>0</v>
      </c>
      <c r="R244">
        <f>IF(N244=0,0,VLOOKUP(N244,'aa codes'!$A$1:'aa codes'!$B$21,2))</f>
        <v>0</v>
      </c>
      <c r="S244" s="1">
        <v>0</v>
      </c>
      <c r="T244" s="1">
        <v>5.1948051900000004E-3</v>
      </c>
    </row>
    <row r="245" spans="1:20">
      <c r="A245">
        <v>9</v>
      </c>
      <c r="B245">
        <v>135790025</v>
      </c>
      <c r="C245" t="str">
        <f t="shared" si="9"/>
        <v>9:135790025</v>
      </c>
      <c r="D245">
        <v>4</v>
      </c>
      <c r="E245" s="1">
        <v>5.3619302899999997E-3</v>
      </c>
      <c r="F245">
        <v>3</v>
      </c>
      <c r="G245">
        <v>1</v>
      </c>
      <c r="H245" s="4">
        <v>0</v>
      </c>
      <c r="I245">
        <v>9</v>
      </c>
      <c r="J245">
        <v>-2181</v>
      </c>
      <c r="K245">
        <v>0</v>
      </c>
      <c r="L245">
        <v>0</v>
      </c>
      <c r="M245">
        <v>0</v>
      </c>
      <c r="N245">
        <v>0</v>
      </c>
      <c r="O245" t="str">
        <f t="shared" si="10"/>
        <v>T</v>
      </c>
      <c r="P245" t="str">
        <f t="shared" si="11"/>
        <v>C</v>
      </c>
      <c r="Q245">
        <f>IF(M245=0,0,VLOOKUP(M245,'aa codes'!$A$1:'aa codes'!$B$21,2))</f>
        <v>0</v>
      </c>
      <c r="R245">
        <f>IF(N245=0,0,VLOOKUP(N245,'aa codes'!$A$1:'aa codes'!$B$21,2))</f>
        <v>0</v>
      </c>
      <c r="S245" s="1">
        <v>1.7421602799999999E-3</v>
      </c>
      <c r="T245" s="1">
        <v>5.3619302899999997E-3</v>
      </c>
    </row>
    <row r="246" spans="1:20">
      <c r="A246">
        <v>9</v>
      </c>
      <c r="B246">
        <v>135790034</v>
      </c>
      <c r="C246" t="str">
        <f t="shared" si="9"/>
        <v>9:135790034</v>
      </c>
      <c r="D246">
        <v>3</v>
      </c>
      <c r="E246" s="1">
        <v>5.97014925E-3</v>
      </c>
      <c r="F246">
        <v>4</v>
      </c>
      <c r="G246">
        <v>1</v>
      </c>
      <c r="H246" s="4">
        <v>0</v>
      </c>
      <c r="I246">
        <v>9</v>
      </c>
      <c r="J246">
        <v>-2190</v>
      </c>
      <c r="K246">
        <v>0</v>
      </c>
      <c r="L246">
        <v>0</v>
      </c>
      <c r="M246">
        <v>0</v>
      </c>
      <c r="N246">
        <v>0</v>
      </c>
      <c r="O246" t="str">
        <f t="shared" si="10"/>
        <v>C</v>
      </c>
      <c r="P246" t="str">
        <f t="shared" si="11"/>
        <v>T</v>
      </c>
      <c r="Q246">
        <f>IF(M246=0,0,VLOOKUP(M246,'aa codes'!$A$1:'aa codes'!$B$21,2))</f>
        <v>0</v>
      </c>
      <c r="R246">
        <f>IF(N246=0,0,VLOOKUP(N246,'aa codes'!$A$1:'aa codes'!$B$21,2))</f>
        <v>0</v>
      </c>
      <c r="S246" s="1">
        <v>0</v>
      </c>
      <c r="T246" s="1">
        <v>5.97014925E-3</v>
      </c>
    </row>
    <row r="247" spans="1:20">
      <c r="A247">
        <v>9</v>
      </c>
      <c r="B247">
        <v>135790050</v>
      </c>
      <c r="C247" t="str">
        <f t="shared" si="9"/>
        <v>9:135790050</v>
      </c>
      <c r="D247">
        <v>3</v>
      </c>
      <c r="E247" s="1">
        <v>6.3291139199999997E-3</v>
      </c>
      <c r="F247">
        <v>1</v>
      </c>
      <c r="G247">
        <v>1</v>
      </c>
      <c r="H247" s="4">
        <v>0</v>
      </c>
      <c r="I247">
        <v>9</v>
      </c>
      <c r="J247">
        <v>-2206</v>
      </c>
      <c r="K247">
        <v>0</v>
      </c>
      <c r="L247">
        <v>0</v>
      </c>
      <c r="M247">
        <v>0</v>
      </c>
      <c r="N247">
        <v>0</v>
      </c>
      <c r="O247" t="str">
        <f t="shared" si="10"/>
        <v>C</v>
      </c>
      <c r="P247" t="str">
        <f t="shared" si="11"/>
        <v>A</v>
      </c>
      <c r="Q247">
        <f>IF(M247=0,0,VLOOKUP(M247,'aa codes'!$A$1:'aa codes'!$B$21,2))</f>
        <v>0</v>
      </c>
      <c r="R247">
        <f>IF(N247=0,0,VLOOKUP(N247,'aa codes'!$A$1:'aa codes'!$B$21,2))</f>
        <v>0</v>
      </c>
      <c r="S247" s="1">
        <v>6.3291139199999997E-3</v>
      </c>
      <c r="T247" s="1">
        <v>0</v>
      </c>
    </row>
    <row r="248" spans="1:20">
      <c r="A248">
        <v>9</v>
      </c>
      <c r="B248">
        <v>135790052</v>
      </c>
      <c r="C248" t="str">
        <f t="shared" si="9"/>
        <v>9:135790052</v>
      </c>
      <c r="D248">
        <v>4</v>
      </c>
      <c r="E248" s="1">
        <v>7.0671378099999996E-3</v>
      </c>
      <c r="F248">
        <v>1</v>
      </c>
      <c r="G248">
        <v>1</v>
      </c>
      <c r="H248" s="4">
        <v>0</v>
      </c>
      <c r="I248">
        <v>9</v>
      </c>
      <c r="J248">
        <v>-2208</v>
      </c>
      <c r="K248">
        <v>0</v>
      </c>
      <c r="L248">
        <v>0</v>
      </c>
      <c r="M248">
        <v>0</v>
      </c>
      <c r="N248">
        <v>0</v>
      </c>
      <c r="O248" t="str">
        <f t="shared" si="10"/>
        <v>T</v>
      </c>
      <c r="P248" t="str">
        <f t="shared" si="11"/>
        <v>A</v>
      </c>
      <c r="Q248">
        <f>IF(M248=0,0,VLOOKUP(M248,'aa codes'!$A$1:'aa codes'!$B$21,2))</f>
        <v>0</v>
      </c>
      <c r="R248">
        <f>IF(N248=0,0,VLOOKUP(N248,'aa codes'!$A$1:'aa codes'!$B$21,2))</f>
        <v>0</v>
      </c>
      <c r="S248" s="1">
        <v>4.0322580600000001E-3</v>
      </c>
      <c r="T248" s="1">
        <v>7.0671378099999996E-3</v>
      </c>
    </row>
    <row r="249" spans="1:20">
      <c r="A249">
        <v>9</v>
      </c>
      <c r="B249">
        <v>135790059</v>
      </c>
      <c r="C249" t="str">
        <f t="shared" si="9"/>
        <v>9:135790059</v>
      </c>
      <c r="D249">
        <v>3</v>
      </c>
      <c r="E249" s="1">
        <v>1.2605042E-2</v>
      </c>
      <c r="F249">
        <v>1</v>
      </c>
      <c r="G249">
        <v>2</v>
      </c>
      <c r="H249" s="4">
        <v>0</v>
      </c>
      <c r="I249">
        <v>9</v>
      </c>
      <c r="J249">
        <v>-2215</v>
      </c>
      <c r="K249">
        <v>0</v>
      </c>
      <c r="L249">
        <v>0</v>
      </c>
      <c r="M249">
        <v>0</v>
      </c>
      <c r="N249">
        <v>0</v>
      </c>
      <c r="O249" t="str">
        <f t="shared" si="10"/>
        <v>C</v>
      </c>
      <c r="P249" t="str">
        <f t="shared" si="11"/>
        <v>A</v>
      </c>
      <c r="Q249">
        <f>IF(M249=0,0,VLOOKUP(M249,'aa codes'!$A$1:'aa codes'!$B$21,2))</f>
        <v>0</v>
      </c>
      <c r="R249">
        <f>IF(N249=0,0,VLOOKUP(N249,'aa codes'!$A$1:'aa codes'!$B$21,2))</f>
        <v>0</v>
      </c>
      <c r="S249" s="1">
        <v>7.2463768099999999E-3</v>
      </c>
      <c r="T249" s="1">
        <v>1.2605042E-2</v>
      </c>
    </row>
    <row r="250" spans="1:20">
      <c r="A250">
        <v>9</v>
      </c>
      <c r="B250">
        <v>135790061</v>
      </c>
      <c r="C250" t="str">
        <f t="shared" si="9"/>
        <v>9:135790061</v>
      </c>
      <c r="D250">
        <v>4</v>
      </c>
      <c r="E250" s="1">
        <v>7.6335877900000002E-3</v>
      </c>
      <c r="F250">
        <v>1</v>
      </c>
      <c r="G250">
        <v>1</v>
      </c>
      <c r="H250" s="4">
        <v>0</v>
      </c>
      <c r="I250">
        <v>9</v>
      </c>
      <c r="J250">
        <v>-2217</v>
      </c>
      <c r="K250">
        <v>0</v>
      </c>
      <c r="L250">
        <v>0</v>
      </c>
      <c r="M250">
        <v>0</v>
      </c>
      <c r="N250">
        <v>0</v>
      </c>
      <c r="O250" t="str">
        <f t="shared" si="10"/>
        <v>T</v>
      </c>
      <c r="P250" t="str">
        <f t="shared" si="11"/>
        <v>A</v>
      </c>
      <c r="Q250">
        <f>IF(M250=0,0,VLOOKUP(M250,'aa codes'!$A$1:'aa codes'!$B$21,2))</f>
        <v>0</v>
      </c>
      <c r="R250">
        <f>IF(N250=0,0,VLOOKUP(N250,'aa codes'!$A$1:'aa codes'!$B$21,2))</f>
        <v>0</v>
      </c>
      <c r="S250" s="1">
        <v>4.1407867500000001E-3</v>
      </c>
      <c r="T250" s="1">
        <v>7.6335877900000002E-3</v>
      </c>
    </row>
    <row r="251" spans="1:20">
      <c r="A251">
        <v>9</v>
      </c>
      <c r="B251">
        <v>135790064</v>
      </c>
      <c r="C251" t="str">
        <f t="shared" si="9"/>
        <v>9:135790064</v>
      </c>
      <c r="D251">
        <v>3</v>
      </c>
      <c r="E251" s="1">
        <v>8.3333333299999996E-3</v>
      </c>
      <c r="F251">
        <v>1</v>
      </c>
      <c r="G251">
        <v>1</v>
      </c>
      <c r="H251" s="4">
        <v>0</v>
      </c>
      <c r="I251">
        <v>9</v>
      </c>
      <c r="J251">
        <v>-2220</v>
      </c>
      <c r="K251">
        <v>0</v>
      </c>
      <c r="L251">
        <v>0</v>
      </c>
      <c r="M251">
        <v>0</v>
      </c>
      <c r="N251">
        <v>0</v>
      </c>
      <c r="O251" t="str">
        <f t="shared" si="10"/>
        <v>C</v>
      </c>
      <c r="P251" t="str">
        <f t="shared" si="11"/>
        <v>A</v>
      </c>
      <c r="Q251">
        <f>IF(M251=0,0,VLOOKUP(M251,'aa codes'!$A$1:'aa codes'!$B$21,2))</f>
        <v>0</v>
      </c>
      <c r="R251">
        <f>IF(N251=0,0,VLOOKUP(N251,'aa codes'!$A$1:'aa codes'!$B$21,2))</f>
        <v>0</v>
      </c>
      <c r="S251" s="1">
        <v>2.36966825E-3</v>
      </c>
      <c r="T251" s="1">
        <v>8.3333333299999996E-3</v>
      </c>
    </row>
    <row r="252" spans="1:20">
      <c r="A252">
        <v>9</v>
      </c>
      <c r="B252">
        <v>135790074</v>
      </c>
      <c r="C252" t="str">
        <f t="shared" si="9"/>
        <v>9:135790074</v>
      </c>
      <c r="D252">
        <v>4</v>
      </c>
      <c r="E252" s="1">
        <v>8.8495575200000006E-3</v>
      </c>
      <c r="F252">
        <v>1</v>
      </c>
      <c r="G252">
        <v>1</v>
      </c>
      <c r="H252" s="4">
        <v>0</v>
      </c>
      <c r="I252">
        <v>9</v>
      </c>
      <c r="J252">
        <v>-2230</v>
      </c>
      <c r="K252">
        <v>0</v>
      </c>
      <c r="L252">
        <v>0</v>
      </c>
      <c r="M252">
        <v>0</v>
      </c>
      <c r="N252">
        <v>0</v>
      </c>
      <c r="O252" t="str">
        <f t="shared" si="10"/>
        <v>T</v>
      </c>
      <c r="P252" t="str">
        <f t="shared" si="11"/>
        <v>A</v>
      </c>
      <c r="Q252">
        <f>IF(M252=0,0,VLOOKUP(M252,'aa codes'!$A$1:'aa codes'!$B$21,2))</f>
        <v>0</v>
      </c>
      <c r="R252">
        <f>IF(N252=0,0,VLOOKUP(N252,'aa codes'!$A$1:'aa codes'!$B$21,2))</f>
        <v>0</v>
      </c>
      <c r="S252" s="1">
        <v>0</v>
      </c>
      <c r="T252" s="1">
        <v>8.8495575200000006E-3</v>
      </c>
    </row>
    <row r="253" spans="1:20">
      <c r="A253">
        <v>9</v>
      </c>
      <c r="B253">
        <v>135790088</v>
      </c>
      <c r="C253" t="str">
        <f t="shared" si="9"/>
        <v>9:135790088</v>
      </c>
      <c r="D253">
        <v>4</v>
      </c>
      <c r="E253" s="1">
        <v>3.2544378700000001E-2</v>
      </c>
      <c r="F253">
        <v>1</v>
      </c>
      <c r="G253">
        <v>2</v>
      </c>
      <c r="H253" s="4">
        <v>0</v>
      </c>
      <c r="I253">
        <v>9</v>
      </c>
      <c r="J253">
        <v>-2244</v>
      </c>
      <c r="K253">
        <v>0</v>
      </c>
      <c r="L253">
        <v>0</v>
      </c>
      <c r="M253">
        <v>0</v>
      </c>
      <c r="N253">
        <v>0</v>
      </c>
      <c r="O253" t="str">
        <f t="shared" si="10"/>
        <v>T</v>
      </c>
      <c r="P253" t="str">
        <f t="shared" si="11"/>
        <v>A</v>
      </c>
      <c r="Q253">
        <f>IF(M253=0,0,VLOOKUP(M253,'aa codes'!$A$1:'aa codes'!$B$21,2))</f>
        <v>0</v>
      </c>
      <c r="R253">
        <f>IF(N253=0,0,VLOOKUP(N253,'aa codes'!$A$1:'aa codes'!$B$21,2))</f>
        <v>0</v>
      </c>
      <c r="S253" s="1">
        <v>3.2544378700000001E-2</v>
      </c>
      <c r="T253" s="1">
        <v>2.4154589399999999E-2</v>
      </c>
    </row>
    <row r="254" spans="1:20">
      <c r="A254">
        <v>9</v>
      </c>
      <c r="B254">
        <v>135790090</v>
      </c>
      <c r="C254" t="str">
        <f t="shared" si="9"/>
        <v>9:135790090</v>
      </c>
      <c r="D254">
        <v>3</v>
      </c>
      <c r="E254" s="1">
        <v>1.9370459999999999E-2</v>
      </c>
      <c r="F254">
        <v>1</v>
      </c>
      <c r="G254">
        <v>2</v>
      </c>
      <c r="H254" s="4">
        <v>0</v>
      </c>
      <c r="I254">
        <v>9</v>
      </c>
      <c r="J254">
        <v>-2246</v>
      </c>
      <c r="K254">
        <v>0</v>
      </c>
      <c r="L254">
        <v>0</v>
      </c>
      <c r="M254">
        <v>0</v>
      </c>
      <c r="N254">
        <v>0</v>
      </c>
      <c r="O254" t="str">
        <f t="shared" si="10"/>
        <v>C</v>
      </c>
      <c r="P254" t="str">
        <f t="shared" si="11"/>
        <v>A</v>
      </c>
      <c r="Q254">
        <f>IF(M254=0,0,VLOOKUP(M254,'aa codes'!$A$1:'aa codes'!$B$21,2))</f>
        <v>0</v>
      </c>
      <c r="R254">
        <f>IF(N254=0,0,VLOOKUP(N254,'aa codes'!$A$1:'aa codes'!$B$21,2))</f>
        <v>0</v>
      </c>
      <c r="S254" s="1">
        <v>1.8624641800000001E-2</v>
      </c>
      <c r="T254" s="1">
        <v>1.9370459999999999E-2</v>
      </c>
    </row>
    <row r="255" spans="1:20">
      <c r="A255">
        <v>9</v>
      </c>
      <c r="B255">
        <v>135790091</v>
      </c>
      <c r="C255" t="str">
        <f t="shared" si="9"/>
        <v>9:135790091</v>
      </c>
      <c r="D255">
        <v>1</v>
      </c>
      <c r="E255" s="1">
        <v>1.93236715E-2</v>
      </c>
      <c r="F255">
        <v>3</v>
      </c>
      <c r="G255">
        <v>2</v>
      </c>
      <c r="H255" s="4">
        <v>0</v>
      </c>
      <c r="I255">
        <v>9</v>
      </c>
      <c r="J255">
        <v>-2247</v>
      </c>
      <c r="K255">
        <v>0</v>
      </c>
      <c r="L255">
        <v>0</v>
      </c>
      <c r="M255">
        <v>0</v>
      </c>
      <c r="N255">
        <v>0</v>
      </c>
      <c r="O255" t="str">
        <f t="shared" si="10"/>
        <v>A</v>
      </c>
      <c r="P255" t="str">
        <f t="shared" si="11"/>
        <v>C</v>
      </c>
      <c r="Q255">
        <f>IF(M255=0,0,VLOOKUP(M255,'aa codes'!$A$1:'aa codes'!$B$21,2))</f>
        <v>0</v>
      </c>
      <c r="R255">
        <f>IF(N255=0,0,VLOOKUP(N255,'aa codes'!$A$1:'aa codes'!$B$21,2))</f>
        <v>0</v>
      </c>
      <c r="S255" s="1">
        <v>5.5401662000000001E-3</v>
      </c>
      <c r="T255" s="1">
        <v>1.93236715E-2</v>
      </c>
    </row>
    <row r="256" spans="1:20">
      <c r="A256">
        <v>9</v>
      </c>
      <c r="B256">
        <v>135790106</v>
      </c>
      <c r="C256" t="str">
        <f t="shared" si="9"/>
        <v>9:135790106</v>
      </c>
      <c r="D256">
        <v>1</v>
      </c>
      <c r="E256" s="1">
        <v>1.4084507E-2</v>
      </c>
      <c r="F256">
        <v>4</v>
      </c>
      <c r="G256">
        <v>2</v>
      </c>
      <c r="H256" s="4">
        <v>0</v>
      </c>
      <c r="I256">
        <v>9</v>
      </c>
      <c r="J256">
        <v>-2262</v>
      </c>
      <c r="K256">
        <v>0</v>
      </c>
      <c r="L256">
        <v>0</v>
      </c>
      <c r="M256">
        <v>0</v>
      </c>
      <c r="N256">
        <v>0</v>
      </c>
      <c r="O256" t="str">
        <f t="shared" si="10"/>
        <v>A</v>
      </c>
      <c r="P256" t="str">
        <f t="shared" si="11"/>
        <v>T</v>
      </c>
      <c r="Q256">
        <f>IF(M256=0,0,VLOOKUP(M256,'aa codes'!$A$1:'aa codes'!$B$21,2))</f>
        <v>0</v>
      </c>
      <c r="R256">
        <f>IF(N256=0,0,VLOOKUP(N256,'aa codes'!$A$1:'aa codes'!$B$21,2))</f>
        <v>0</v>
      </c>
      <c r="S256" s="1">
        <v>1.4084507E-2</v>
      </c>
      <c r="T256" s="1">
        <v>7.5187969899999998E-3</v>
      </c>
    </row>
    <row r="257" spans="1:20">
      <c r="A257">
        <v>9</v>
      </c>
      <c r="B257">
        <v>135790107</v>
      </c>
      <c r="C257" t="str">
        <f t="shared" si="9"/>
        <v>9:135790107</v>
      </c>
      <c r="D257">
        <v>4</v>
      </c>
      <c r="E257" s="1">
        <v>1.49812734E-2</v>
      </c>
      <c r="F257">
        <v>1</v>
      </c>
      <c r="G257">
        <v>2</v>
      </c>
      <c r="H257" s="4">
        <v>0</v>
      </c>
      <c r="I257">
        <v>9</v>
      </c>
      <c r="J257">
        <v>-2263</v>
      </c>
      <c r="K257">
        <v>0</v>
      </c>
      <c r="L257">
        <v>0</v>
      </c>
      <c r="M257">
        <v>0</v>
      </c>
      <c r="N257">
        <v>0</v>
      </c>
      <c r="O257" t="str">
        <f t="shared" si="10"/>
        <v>T</v>
      </c>
      <c r="P257" t="str">
        <f t="shared" si="11"/>
        <v>A</v>
      </c>
      <c r="Q257">
        <f>IF(M257=0,0,VLOOKUP(M257,'aa codes'!$A$1:'aa codes'!$B$21,2))</f>
        <v>0</v>
      </c>
      <c r="R257">
        <f>IF(N257=0,0,VLOOKUP(N257,'aa codes'!$A$1:'aa codes'!$B$21,2))</f>
        <v>0</v>
      </c>
      <c r="S257" s="1">
        <v>8.2304526699999991E-3</v>
      </c>
      <c r="T257" s="1">
        <v>1.49812734E-2</v>
      </c>
    </row>
    <row r="258" spans="1:20">
      <c r="A258">
        <v>9</v>
      </c>
      <c r="B258">
        <v>135790109</v>
      </c>
      <c r="C258" t="str">
        <f t="shared" si="9"/>
        <v>9:135790109</v>
      </c>
      <c r="D258">
        <v>1</v>
      </c>
      <c r="E258" s="1">
        <v>7.6335877900000002E-3</v>
      </c>
      <c r="F258">
        <v>4</v>
      </c>
      <c r="G258">
        <v>1</v>
      </c>
      <c r="H258" s="4">
        <v>0</v>
      </c>
      <c r="I258">
        <v>9</v>
      </c>
      <c r="J258">
        <v>-2265</v>
      </c>
      <c r="K258">
        <v>0</v>
      </c>
      <c r="L258">
        <v>0</v>
      </c>
      <c r="M258">
        <v>0</v>
      </c>
      <c r="N258">
        <v>0</v>
      </c>
      <c r="O258" t="str">
        <f t="shared" si="10"/>
        <v>A</v>
      </c>
      <c r="P258" t="str">
        <f t="shared" si="11"/>
        <v>T</v>
      </c>
      <c r="Q258">
        <f>IF(M258=0,0,VLOOKUP(M258,'aa codes'!$A$1:'aa codes'!$B$21,2))</f>
        <v>0</v>
      </c>
      <c r="R258">
        <f>IF(N258=0,0,VLOOKUP(N258,'aa codes'!$A$1:'aa codes'!$B$21,2))</f>
        <v>0</v>
      </c>
      <c r="S258" s="1">
        <v>2.12314225E-3</v>
      </c>
      <c r="T258" s="1">
        <v>7.6335877900000002E-3</v>
      </c>
    </row>
    <row r="259" spans="1:20">
      <c r="A259">
        <v>9</v>
      </c>
      <c r="B259">
        <v>135790118</v>
      </c>
      <c r="C259" t="str">
        <f t="shared" ref="C259:C322" si="12">A259&amp;":"&amp;B259</f>
        <v>9:135790118</v>
      </c>
      <c r="D259">
        <v>4</v>
      </c>
      <c r="E259" s="1">
        <v>8.0000000000000002E-3</v>
      </c>
      <c r="F259">
        <v>2</v>
      </c>
      <c r="G259">
        <v>1</v>
      </c>
      <c r="H259" s="4">
        <v>0</v>
      </c>
      <c r="I259">
        <v>9</v>
      </c>
      <c r="J259">
        <v>-2274</v>
      </c>
      <c r="K259">
        <v>0</v>
      </c>
      <c r="L259">
        <v>0</v>
      </c>
      <c r="M259">
        <v>0</v>
      </c>
      <c r="N259">
        <v>0</v>
      </c>
      <c r="O259" t="str">
        <f t="shared" ref="O259:O322" si="13">IF(D259=1,"A",IF(D259=2,"G",IF(D259=3,"C",IF(D259=4,"T","2NT"))))</f>
        <v>T</v>
      </c>
      <c r="P259" t="str">
        <f t="shared" ref="P259:P322" si="14">IF(F259=1,"A",IF(F259=2,"G",IF(F259=3,"C",IF(F259=4,"T","2NT"))))</f>
        <v>G</v>
      </c>
      <c r="Q259">
        <f>IF(M259=0,0,VLOOKUP(M259,'aa codes'!$A$1:'aa codes'!$B$21,2))</f>
        <v>0</v>
      </c>
      <c r="R259">
        <f>IF(N259=0,0,VLOOKUP(N259,'aa codes'!$A$1:'aa codes'!$B$21,2))</f>
        <v>0</v>
      </c>
      <c r="S259" s="1">
        <v>0</v>
      </c>
      <c r="T259" s="1">
        <v>8.0000000000000002E-3</v>
      </c>
    </row>
    <row r="260" spans="1:20">
      <c r="A260">
        <v>9</v>
      </c>
      <c r="B260">
        <v>135790121</v>
      </c>
      <c r="C260" t="str">
        <f t="shared" si="12"/>
        <v>9:135790121</v>
      </c>
      <c r="D260">
        <v>4</v>
      </c>
      <c r="E260" s="1">
        <v>6.9767441900000001E-3</v>
      </c>
      <c r="F260">
        <v>2</v>
      </c>
      <c r="G260">
        <v>1</v>
      </c>
      <c r="H260" s="4">
        <v>0</v>
      </c>
      <c r="I260">
        <v>9</v>
      </c>
      <c r="J260">
        <v>-2277</v>
      </c>
      <c r="K260">
        <v>0</v>
      </c>
      <c r="L260">
        <v>0</v>
      </c>
      <c r="M260">
        <v>0</v>
      </c>
      <c r="N260">
        <v>0</v>
      </c>
      <c r="O260" t="str">
        <f t="shared" si="13"/>
        <v>T</v>
      </c>
      <c r="P260" t="str">
        <f t="shared" si="14"/>
        <v>G</v>
      </c>
      <c r="Q260">
        <f>IF(M260=0,0,VLOOKUP(M260,'aa codes'!$A$1:'aa codes'!$B$21,2))</f>
        <v>0</v>
      </c>
      <c r="R260">
        <f>IF(N260=0,0,VLOOKUP(N260,'aa codes'!$A$1:'aa codes'!$B$21,2))</f>
        <v>0</v>
      </c>
      <c r="S260" s="1">
        <v>6.9767441900000001E-3</v>
      </c>
      <c r="T260" s="1">
        <v>0</v>
      </c>
    </row>
    <row r="261" spans="1:20">
      <c r="A261">
        <v>9</v>
      </c>
      <c r="B261">
        <v>135790232</v>
      </c>
      <c r="C261" t="str">
        <f t="shared" si="12"/>
        <v>9:135790232</v>
      </c>
      <c r="D261">
        <v>1</v>
      </c>
      <c r="E261" s="1">
        <v>5.49450549E-3</v>
      </c>
      <c r="F261">
        <v>2</v>
      </c>
      <c r="G261">
        <v>1</v>
      </c>
      <c r="H261" s="4">
        <v>0</v>
      </c>
      <c r="I261">
        <v>9</v>
      </c>
      <c r="J261">
        <v>-2388</v>
      </c>
      <c r="K261">
        <v>0</v>
      </c>
      <c r="L261">
        <v>0</v>
      </c>
      <c r="M261">
        <v>0</v>
      </c>
      <c r="N261">
        <v>0</v>
      </c>
      <c r="O261" t="str">
        <f t="shared" si="13"/>
        <v>A</v>
      </c>
      <c r="P261" t="str">
        <f t="shared" si="14"/>
        <v>G</v>
      </c>
      <c r="Q261">
        <f>IF(M261=0,0,VLOOKUP(M261,'aa codes'!$A$1:'aa codes'!$B$21,2))</f>
        <v>0</v>
      </c>
      <c r="R261">
        <f>IF(N261=0,0,VLOOKUP(N261,'aa codes'!$A$1:'aa codes'!$B$21,2))</f>
        <v>0</v>
      </c>
      <c r="S261" s="1">
        <v>0</v>
      </c>
      <c r="T261" s="1">
        <v>5.49450549E-3</v>
      </c>
    </row>
    <row r="262" spans="1:20">
      <c r="A262">
        <v>9</v>
      </c>
      <c r="B262">
        <v>135790261</v>
      </c>
      <c r="C262" t="str">
        <f t="shared" si="12"/>
        <v>9:135790261</v>
      </c>
      <c r="D262">
        <v>2</v>
      </c>
      <c r="E262" s="1">
        <v>1</v>
      </c>
      <c r="F262">
        <v>1</v>
      </c>
      <c r="G262">
        <v>2</v>
      </c>
      <c r="H262" s="4">
        <v>0.999</v>
      </c>
      <c r="I262">
        <v>9</v>
      </c>
      <c r="J262">
        <v>-2417</v>
      </c>
      <c r="K262">
        <v>0</v>
      </c>
      <c r="L262">
        <v>0</v>
      </c>
      <c r="M262">
        <v>0</v>
      </c>
      <c r="N262">
        <v>0</v>
      </c>
      <c r="O262" t="str">
        <f t="shared" si="13"/>
        <v>G</v>
      </c>
      <c r="P262" t="str">
        <f t="shared" si="14"/>
        <v>A</v>
      </c>
      <c r="Q262">
        <f>IF(M262=0,0,VLOOKUP(M262,'aa codes'!$A$1:'aa codes'!$B$21,2))</f>
        <v>0</v>
      </c>
      <c r="R262">
        <f>IF(N262=0,0,VLOOKUP(N262,'aa codes'!$A$1:'aa codes'!$B$21,2))</f>
        <v>0</v>
      </c>
      <c r="S262" s="1">
        <v>1</v>
      </c>
      <c r="T262" s="1">
        <v>0.99743589700000002</v>
      </c>
    </row>
    <row r="263" spans="1:20">
      <c r="A263">
        <v>9</v>
      </c>
      <c r="B263">
        <v>135790284</v>
      </c>
      <c r="C263" t="str">
        <f t="shared" si="12"/>
        <v>9:135790284</v>
      </c>
      <c r="D263">
        <v>4</v>
      </c>
      <c r="E263" s="1">
        <v>5.0890585200000001E-3</v>
      </c>
      <c r="F263">
        <v>3</v>
      </c>
      <c r="G263">
        <v>1</v>
      </c>
      <c r="H263" s="4">
        <v>0</v>
      </c>
      <c r="I263">
        <v>9</v>
      </c>
      <c r="J263">
        <v>-2440</v>
      </c>
      <c r="K263">
        <v>0</v>
      </c>
      <c r="L263">
        <v>0</v>
      </c>
      <c r="M263">
        <v>0</v>
      </c>
      <c r="N263">
        <v>0</v>
      </c>
      <c r="O263" t="str">
        <f t="shared" si="13"/>
        <v>T</v>
      </c>
      <c r="P263" t="str">
        <f t="shared" si="14"/>
        <v>C</v>
      </c>
      <c r="Q263">
        <f>IF(M263=0,0,VLOOKUP(M263,'aa codes'!$A$1:'aa codes'!$B$21,2))</f>
        <v>0</v>
      </c>
      <c r="R263">
        <f>IF(N263=0,0,VLOOKUP(N263,'aa codes'!$A$1:'aa codes'!$B$21,2))</f>
        <v>0</v>
      </c>
      <c r="S263" s="1">
        <v>0</v>
      </c>
      <c r="T263" s="1">
        <v>5.0890585200000001E-3</v>
      </c>
    </row>
    <row r="264" spans="1:20">
      <c r="A264">
        <v>9</v>
      </c>
      <c r="B264">
        <v>135790319</v>
      </c>
      <c r="C264" t="str">
        <f t="shared" si="12"/>
        <v>9:135790319</v>
      </c>
      <c r="D264">
        <v>1</v>
      </c>
      <c r="E264" s="1">
        <v>5.0377833799999999E-3</v>
      </c>
      <c r="F264">
        <v>4</v>
      </c>
      <c r="G264">
        <v>1</v>
      </c>
      <c r="H264" s="4">
        <v>0</v>
      </c>
      <c r="I264">
        <v>9</v>
      </c>
      <c r="J264">
        <v>-2475</v>
      </c>
      <c r="K264">
        <v>0</v>
      </c>
      <c r="L264">
        <v>0</v>
      </c>
      <c r="M264">
        <v>0</v>
      </c>
      <c r="N264">
        <v>0</v>
      </c>
      <c r="O264" t="str">
        <f t="shared" si="13"/>
        <v>A</v>
      </c>
      <c r="P264" t="str">
        <f t="shared" si="14"/>
        <v>T</v>
      </c>
      <c r="Q264">
        <f>IF(M264=0,0,VLOOKUP(M264,'aa codes'!$A$1:'aa codes'!$B$21,2))</f>
        <v>0</v>
      </c>
      <c r="R264">
        <f>IF(N264=0,0,VLOOKUP(N264,'aa codes'!$A$1:'aa codes'!$B$21,2))</f>
        <v>0</v>
      </c>
      <c r="S264" s="1">
        <v>0</v>
      </c>
      <c r="T264" s="1">
        <v>5.0377833799999999E-3</v>
      </c>
    </row>
    <row r="265" spans="1:20">
      <c r="A265">
        <v>9</v>
      </c>
      <c r="B265">
        <v>135790329</v>
      </c>
      <c r="C265" t="str">
        <f t="shared" si="12"/>
        <v>9:135790329</v>
      </c>
      <c r="D265">
        <v>1</v>
      </c>
      <c r="E265" s="1">
        <v>5.1282051299999997E-3</v>
      </c>
      <c r="F265">
        <v>2</v>
      </c>
      <c r="G265">
        <v>1</v>
      </c>
      <c r="H265" s="4">
        <v>0</v>
      </c>
      <c r="I265">
        <v>9</v>
      </c>
      <c r="J265">
        <v>-2485</v>
      </c>
      <c r="K265">
        <v>0</v>
      </c>
      <c r="L265">
        <v>0</v>
      </c>
      <c r="M265">
        <v>0</v>
      </c>
      <c r="N265">
        <v>0</v>
      </c>
      <c r="O265" t="str">
        <f t="shared" si="13"/>
        <v>A</v>
      </c>
      <c r="P265" t="str">
        <f t="shared" si="14"/>
        <v>G</v>
      </c>
      <c r="Q265">
        <f>IF(M265=0,0,VLOOKUP(M265,'aa codes'!$A$1:'aa codes'!$B$21,2))</f>
        <v>0</v>
      </c>
      <c r="R265">
        <f>IF(N265=0,0,VLOOKUP(N265,'aa codes'!$A$1:'aa codes'!$B$21,2))</f>
        <v>0</v>
      </c>
      <c r="S265" s="1">
        <v>0</v>
      </c>
      <c r="T265" s="1">
        <v>5.1282051299999997E-3</v>
      </c>
    </row>
    <row r="266" spans="1:20">
      <c r="A266">
        <v>9</v>
      </c>
      <c r="B266">
        <v>135790369</v>
      </c>
      <c r="C266" t="str">
        <f t="shared" si="12"/>
        <v>9:135790369</v>
      </c>
      <c r="D266">
        <v>3</v>
      </c>
      <c r="E266" s="1">
        <v>6.9444444400000001E-3</v>
      </c>
      <c r="F266">
        <v>1</v>
      </c>
      <c r="G266">
        <v>1</v>
      </c>
      <c r="H266" s="4">
        <v>0</v>
      </c>
      <c r="I266">
        <v>9</v>
      </c>
      <c r="J266">
        <v>-2525</v>
      </c>
      <c r="K266">
        <v>0</v>
      </c>
      <c r="L266">
        <v>0</v>
      </c>
      <c r="M266">
        <v>0</v>
      </c>
      <c r="N266">
        <v>0</v>
      </c>
      <c r="O266" t="str">
        <f t="shared" si="13"/>
        <v>C</v>
      </c>
      <c r="P266" t="str">
        <f t="shared" si="14"/>
        <v>A</v>
      </c>
      <c r="Q266">
        <f>IF(M266=0,0,VLOOKUP(M266,'aa codes'!$A$1:'aa codes'!$B$21,2))</f>
        <v>0</v>
      </c>
      <c r="R266">
        <f>IF(N266=0,0,VLOOKUP(N266,'aa codes'!$A$1:'aa codes'!$B$21,2))</f>
        <v>0</v>
      </c>
      <c r="S266" s="1">
        <v>2.9368575600000001E-3</v>
      </c>
      <c r="T266" s="1">
        <v>6.9444444400000001E-3</v>
      </c>
    </row>
    <row r="267" spans="1:20">
      <c r="A267">
        <v>9</v>
      </c>
      <c r="B267">
        <v>135790406</v>
      </c>
      <c r="C267" t="str">
        <f t="shared" si="12"/>
        <v>9:135790406</v>
      </c>
      <c r="D267">
        <v>3</v>
      </c>
      <c r="E267" s="1">
        <v>5.8479532200000003E-3</v>
      </c>
      <c r="F267">
        <v>1</v>
      </c>
      <c r="G267">
        <v>1</v>
      </c>
      <c r="H267" s="4">
        <v>0</v>
      </c>
      <c r="I267">
        <v>9</v>
      </c>
      <c r="J267">
        <v>-2562</v>
      </c>
      <c r="K267">
        <v>0</v>
      </c>
      <c r="L267">
        <v>0</v>
      </c>
      <c r="M267">
        <v>0</v>
      </c>
      <c r="N267">
        <v>0</v>
      </c>
      <c r="O267" t="str">
        <f t="shared" si="13"/>
        <v>C</v>
      </c>
      <c r="P267" t="str">
        <f t="shared" si="14"/>
        <v>A</v>
      </c>
      <c r="Q267">
        <f>IF(M267=0,0,VLOOKUP(M267,'aa codes'!$A$1:'aa codes'!$B$21,2))</f>
        <v>0</v>
      </c>
      <c r="R267">
        <f>IF(N267=0,0,VLOOKUP(N267,'aa codes'!$A$1:'aa codes'!$B$21,2))</f>
        <v>0</v>
      </c>
      <c r="S267" s="1">
        <v>1.3071895400000001E-3</v>
      </c>
      <c r="T267" s="1">
        <v>5.8479532200000003E-3</v>
      </c>
    </row>
    <row r="268" spans="1:20">
      <c r="A268">
        <v>9</v>
      </c>
      <c r="B268">
        <v>135790409</v>
      </c>
      <c r="C268" t="str">
        <f t="shared" si="12"/>
        <v>9:135790409</v>
      </c>
      <c r="D268">
        <v>3</v>
      </c>
      <c r="E268" s="1">
        <v>5.8027079299999996E-3</v>
      </c>
      <c r="F268">
        <v>1</v>
      </c>
      <c r="G268">
        <v>1</v>
      </c>
      <c r="H268" s="4">
        <v>0</v>
      </c>
      <c r="I268">
        <v>9</v>
      </c>
      <c r="J268">
        <v>-2565</v>
      </c>
      <c r="K268">
        <v>0</v>
      </c>
      <c r="L268">
        <v>0</v>
      </c>
      <c r="M268">
        <v>0</v>
      </c>
      <c r="N268">
        <v>0</v>
      </c>
      <c r="O268" t="str">
        <f t="shared" si="13"/>
        <v>C</v>
      </c>
      <c r="P268" t="str">
        <f t="shared" si="14"/>
        <v>A</v>
      </c>
      <c r="Q268">
        <f>IF(M268=0,0,VLOOKUP(M268,'aa codes'!$A$1:'aa codes'!$B$21,2))</f>
        <v>0</v>
      </c>
      <c r="R268">
        <f>IF(N268=0,0,VLOOKUP(N268,'aa codes'!$A$1:'aa codes'!$B$21,2))</f>
        <v>0</v>
      </c>
      <c r="S268" s="1">
        <v>1.31233596E-3</v>
      </c>
      <c r="T268" s="1">
        <v>5.8027079299999996E-3</v>
      </c>
    </row>
    <row r="269" spans="1:20">
      <c r="A269">
        <v>9</v>
      </c>
      <c r="B269">
        <v>135790418</v>
      </c>
      <c r="C269" t="str">
        <f t="shared" si="12"/>
        <v>9:135790418</v>
      </c>
      <c r="D269">
        <v>3</v>
      </c>
      <c r="E269" s="1">
        <v>5.7803468199999998E-3</v>
      </c>
      <c r="F269">
        <v>1</v>
      </c>
      <c r="G269">
        <v>1</v>
      </c>
      <c r="H269" s="4">
        <v>0</v>
      </c>
      <c r="I269">
        <v>9</v>
      </c>
      <c r="J269">
        <v>-2574</v>
      </c>
      <c r="K269">
        <v>0</v>
      </c>
      <c r="L269">
        <v>0</v>
      </c>
      <c r="M269">
        <v>0</v>
      </c>
      <c r="N269">
        <v>0</v>
      </c>
      <c r="O269" t="str">
        <f t="shared" si="13"/>
        <v>C</v>
      </c>
      <c r="P269" t="str">
        <f t="shared" si="14"/>
        <v>A</v>
      </c>
      <c r="Q269">
        <f>IF(M269=0,0,VLOOKUP(M269,'aa codes'!$A$1:'aa codes'!$B$21,2))</f>
        <v>0</v>
      </c>
      <c r="R269">
        <f>IF(N269=0,0,VLOOKUP(N269,'aa codes'!$A$1:'aa codes'!$B$21,2))</f>
        <v>0</v>
      </c>
      <c r="S269" s="1">
        <v>0</v>
      </c>
      <c r="T269" s="1">
        <v>5.7803468199999998E-3</v>
      </c>
    </row>
    <row r="270" spans="1:20">
      <c r="A270">
        <v>9</v>
      </c>
      <c r="B270">
        <v>135790421</v>
      </c>
      <c r="C270" t="str">
        <f t="shared" si="12"/>
        <v>9:135790421</v>
      </c>
      <c r="D270">
        <v>3</v>
      </c>
      <c r="E270" s="1">
        <v>5.7361376699999996E-3</v>
      </c>
      <c r="F270">
        <v>1</v>
      </c>
      <c r="G270">
        <v>1</v>
      </c>
      <c r="H270" s="4">
        <v>0</v>
      </c>
      <c r="I270">
        <v>9</v>
      </c>
      <c r="J270">
        <v>-2577</v>
      </c>
      <c r="K270">
        <v>0</v>
      </c>
      <c r="L270">
        <v>0</v>
      </c>
      <c r="M270">
        <v>0</v>
      </c>
      <c r="N270">
        <v>0</v>
      </c>
      <c r="O270" t="str">
        <f t="shared" si="13"/>
        <v>C</v>
      </c>
      <c r="P270" t="str">
        <f t="shared" si="14"/>
        <v>A</v>
      </c>
      <c r="Q270">
        <f>IF(M270=0,0,VLOOKUP(M270,'aa codes'!$A$1:'aa codes'!$B$21,2))</f>
        <v>0</v>
      </c>
      <c r="R270">
        <f>IF(N270=0,0,VLOOKUP(N270,'aa codes'!$A$1:'aa codes'!$B$21,2))</f>
        <v>0</v>
      </c>
      <c r="S270" s="1">
        <v>2.5220681000000002E-3</v>
      </c>
      <c r="T270" s="1">
        <v>5.7361376699999996E-3</v>
      </c>
    </row>
    <row r="271" spans="1:20">
      <c r="A271">
        <v>9</v>
      </c>
      <c r="B271">
        <v>135790510</v>
      </c>
      <c r="C271" t="str">
        <f t="shared" si="12"/>
        <v>9:135790510</v>
      </c>
      <c r="D271">
        <v>3</v>
      </c>
      <c r="E271" s="1">
        <v>7.4626865699999999E-3</v>
      </c>
      <c r="F271">
        <v>4</v>
      </c>
      <c r="G271">
        <v>1</v>
      </c>
      <c r="H271" s="4">
        <v>0</v>
      </c>
      <c r="I271">
        <v>9</v>
      </c>
      <c r="J271">
        <v>-2666</v>
      </c>
      <c r="K271">
        <v>0</v>
      </c>
      <c r="L271">
        <v>0</v>
      </c>
      <c r="M271">
        <v>0</v>
      </c>
      <c r="N271">
        <v>0</v>
      </c>
      <c r="O271" t="str">
        <f t="shared" si="13"/>
        <v>C</v>
      </c>
      <c r="P271" t="str">
        <f t="shared" si="14"/>
        <v>T</v>
      </c>
      <c r="Q271">
        <f>IF(M271=0,0,VLOOKUP(M271,'aa codes'!$A$1:'aa codes'!$B$21,2))</f>
        <v>0</v>
      </c>
      <c r="R271">
        <f>IF(N271=0,0,VLOOKUP(N271,'aa codes'!$A$1:'aa codes'!$B$21,2))</f>
        <v>0</v>
      </c>
      <c r="S271" s="1">
        <v>0</v>
      </c>
      <c r="T271" s="1">
        <v>7.4626865699999999E-3</v>
      </c>
    </row>
    <row r="272" spans="1:20">
      <c r="A272">
        <v>9</v>
      </c>
      <c r="B272">
        <v>135790577</v>
      </c>
      <c r="C272" t="str">
        <f t="shared" si="12"/>
        <v>9:135790577</v>
      </c>
      <c r="D272">
        <v>2</v>
      </c>
      <c r="E272" s="1">
        <v>8.1743869200000003E-3</v>
      </c>
      <c r="F272">
        <v>1</v>
      </c>
      <c r="G272">
        <v>1</v>
      </c>
      <c r="H272" s="4">
        <v>0</v>
      </c>
      <c r="I272">
        <v>9</v>
      </c>
      <c r="J272">
        <v>-2733</v>
      </c>
      <c r="K272">
        <v>0</v>
      </c>
      <c r="L272">
        <v>0</v>
      </c>
      <c r="M272">
        <v>0</v>
      </c>
      <c r="N272">
        <v>0</v>
      </c>
      <c r="O272" t="str">
        <f t="shared" si="13"/>
        <v>G</v>
      </c>
      <c r="P272" t="str">
        <f t="shared" si="14"/>
        <v>A</v>
      </c>
      <c r="Q272">
        <f>IF(M272=0,0,VLOOKUP(M272,'aa codes'!$A$1:'aa codes'!$B$21,2))</f>
        <v>0</v>
      </c>
      <c r="R272">
        <f>IF(N272=0,0,VLOOKUP(N272,'aa codes'!$A$1:'aa codes'!$B$21,2))</f>
        <v>0</v>
      </c>
      <c r="S272" s="1">
        <v>8.1743869200000003E-3</v>
      </c>
      <c r="T272" s="1">
        <v>4.1841004199999997E-3</v>
      </c>
    </row>
    <row r="273" spans="1:20">
      <c r="A273">
        <v>9</v>
      </c>
      <c r="B273">
        <v>135790578</v>
      </c>
      <c r="C273" t="str">
        <f t="shared" si="12"/>
        <v>9:135790578</v>
      </c>
      <c r="D273">
        <v>1</v>
      </c>
      <c r="E273" s="1">
        <v>1.2919896599999999E-2</v>
      </c>
      <c r="F273">
        <v>2</v>
      </c>
      <c r="G273">
        <v>2</v>
      </c>
      <c r="H273" s="4">
        <v>0</v>
      </c>
      <c r="I273">
        <v>9</v>
      </c>
      <c r="J273">
        <v>-2734</v>
      </c>
      <c r="K273">
        <v>0</v>
      </c>
      <c r="L273">
        <v>0</v>
      </c>
      <c r="M273">
        <v>0</v>
      </c>
      <c r="N273">
        <v>0</v>
      </c>
      <c r="O273" t="str">
        <f t="shared" si="13"/>
        <v>A</v>
      </c>
      <c r="P273" t="str">
        <f t="shared" si="14"/>
        <v>G</v>
      </c>
      <c r="Q273">
        <f>IF(M273=0,0,VLOOKUP(M273,'aa codes'!$A$1:'aa codes'!$B$21,2))</f>
        <v>0</v>
      </c>
      <c r="R273">
        <f>IF(N273=0,0,VLOOKUP(N273,'aa codes'!$A$1:'aa codes'!$B$21,2))</f>
        <v>0</v>
      </c>
      <c r="S273" s="1">
        <v>8.99280576E-3</v>
      </c>
      <c r="T273" s="1">
        <v>1.2919896599999999E-2</v>
      </c>
    </row>
    <row r="274" spans="1:20">
      <c r="A274">
        <v>9</v>
      </c>
      <c r="B274">
        <v>135790699</v>
      </c>
      <c r="C274" t="str">
        <f t="shared" si="12"/>
        <v>9:135790699</v>
      </c>
      <c r="D274">
        <v>2</v>
      </c>
      <c r="E274" s="1">
        <v>5.6285178199999997E-3</v>
      </c>
      <c r="F274">
        <v>1</v>
      </c>
      <c r="G274">
        <v>1</v>
      </c>
      <c r="H274" s="4">
        <v>1.2990000000000001E-4</v>
      </c>
      <c r="I274">
        <v>9</v>
      </c>
      <c r="J274">
        <v>-2855</v>
      </c>
      <c r="K274">
        <v>0</v>
      </c>
      <c r="L274">
        <v>0</v>
      </c>
      <c r="M274">
        <v>0</v>
      </c>
      <c r="N274">
        <v>0</v>
      </c>
      <c r="O274" t="str">
        <f t="shared" si="13"/>
        <v>G</v>
      </c>
      <c r="P274" t="str">
        <f t="shared" si="14"/>
        <v>A</v>
      </c>
      <c r="Q274">
        <f>IF(M274=0,0,VLOOKUP(M274,'aa codes'!$A$1:'aa codes'!$B$21,2))</f>
        <v>0</v>
      </c>
      <c r="R274">
        <f>IF(N274=0,0,VLOOKUP(N274,'aa codes'!$A$1:'aa codes'!$B$21,2))</f>
        <v>0</v>
      </c>
      <c r="S274" s="1">
        <v>0</v>
      </c>
      <c r="T274" s="1">
        <v>5.6285178199999997E-3</v>
      </c>
    </row>
    <row r="275" spans="1:20">
      <c r="A275">
        <v>9</v>
      </c>
      <c r="B275">
        <v>135791103</v>
      </c>
      <c r="C275" t="str">
        <f t="shared" si="12"/>
        <v>9:135791103</v>
      </c>
      <c r="D275">
        <v>2</v>
      </c>
      <c r="E275" s="1">
        <v>0.50418994399999995</v>
      </c>
      <c r="F275">
        <v>1</v>
      </c>
      <c r="G275">
        <v>1</v>
      </c>
      <c r="H275" s="4">
        <v>0.43099999999999999</v>
      </c>
      <c r="I275">
        <v>9</v>
      </c>
      <c r="J275">
        <v>-3259</v>
      </c>
      <c r="K275">
        <v>0</v>
      </c>
      <c r="L275">
        <v>0</v>
      </c>
      <c r="M275">
        <v>0</v>
      </c>
      <c r="N275">
        <v>0</v>
      </c>
      <c r="O275" t="str">
        <f t="shared" si="13"/>
        <v>G</v>
      </c>
      <c r="P275" t="str">
        <f t="shared" si="14"/>
        <v>A</v>
      </c>
      <c r="Q275">
        <f>IF(M275=0,0,VLOOKUP(M275,'aa codes'!$A$1:'aa codes'!$B$21,2))</f>
        <v>0</v>
      </c>
      <c r="R275">
        <f>IF(N275=0,0,VLOOKUP(N275,'aa codes'!$A$1:'aa codes'!$B$21,2))</f>
        <v>0</v>
      </c>
      <c r="S275" s="1">
        <v>0</v>
      </c>
      <c r="T275" s="1">
        <v>0.50418994399999995</v>
      </c>
    </row>
    <row r="276" spans="1:20">
      <c r="A276">
        <v>9</v>
      </c>
      <c r="B276">
        <v>135792676</v>
      </c>
      <c r="C276" t="str">
        <f t="shared" si="12"/>
        <v>9:135792676</v>
      </c>
      <c r="D276">
        <v>2</v>
      </c>
      <c r="E276" s="1">
        <v>9.2250922500000006E-3</v>
      </c>
      <c r="F276">
        <v>4</v>
      </c>
      <c r="G276">
        <v>1</v>
      </c>
      <c r="H276" s="4">
        <v>0</v>
      </c>
      <c r="I276">
        <v>8</v>
      </c>
      <c r="J276">
        <v>4074</v>
      </c>
      <c r="K276">
        <v>0</v>
      </c>
      <c r="L276">
        <v>0</v>
      </c>
      <c r="M276">
        <v>0</v>
      </c>
      <c r="N276">
        <v>0</v>
      </c>
      <c r="O276" t="str">
        <f t="shared" si="13"/>
        <v>G</v>
      </c>
      <c r="P276" t="str">
        <f t="shared" si="14"/>
        <v>T</v>
      </c>
      <c r="Q276">
        <f>IF(M276=0,0,VLOOKUP(M276,'aa codes'!$A$1:'aa codes'!$B$21,2))</f>
        <v>0</v>
      </c>
      <c r="R276">
        <f>IF(N276=0,0,VLOOKUP(N276,'aa codes'!$A$1:'aa codes'!$B$21,2))</f>
        <v>0</v>
      </c>
      <c r="S276" s="1">
        <v>3.3821871499999999E-3</v>
      </c>
      <c r="T276" s="1">
        <v>9.2250922500000006E-3</v>
      </c>
    </row>
    <row r="277" spans="1:20">
      <c r="A277">
        <v>9</v>
      </c>
      <c r="B277">
        <v>135792780</v>
      </c>
      <c r="C277" t="str">
        <f t="shared" si="12"/>
        <v>9:135792780</v>
      </c>
      <c r="D277">
        <v>3</v>
      </c>
      <c r="E277" s="1">
        <v>0.48684210500000002</v>
      </c>
      <c r="F277">
        <v>4</v>
      </c>
      <c r="G277">
        <v>1</v>
      </c>
      <c r="H277" s="4">
        <v>0.38229999999999997</v>
      </c>
      <c r="I277">
        <v>8</v>
      </c>
      <c r="J277">
        <v>3970</v>
      </c>
      <c r="K277">
        <v>0</v>
      </c>
      <c r="L277">
        <v>0</v>
      </c>
      <c r="M277">
        <v>0</v>
      </c>
      <c r="N277">
        <v>0</v>
      </c>
      <c r="O277" t="str">
        <f t="shared" si="13"/>
        <v>C</v>
      </c>
      <c r="P277" t="str">
        <f t="shared" si="14"/>
        <v>T</v>
      </c>
      <c r="Q277">
        <f>IF(M277=0,0,VLOOKUP(M277,'aa codes'!$A$1:'aa codes'!$B$21,2))</f>
        <v>0</v>
      </c>
      <c r="R277">
        <f>IF(N277=0,0,VLOOKUP(N277,'aa codes'!$A$1:'aa codes'!$B$21,2))</f>
        <v>0</v>
      </c>
      <c r="S277" s="1">
        <v>0</v>
      </c>
      <c r="T277" s="1">
        <v>0.48684210500000002</v>
      </c>
    </row>
    <row r="278" spans="1:20">
      <c r="A278">
        <v>9</v>
      </c>
      <c r="B278">
        <v>135792825</v>
      </c>
      <c r="C278" t="str">
        <f t="shared" si="12"/>
        <v>9:135792825</v>
      </c>
      <c r="D278">
        <v>3</v>
      </c>
      <c r="E278" s="1">
        <v>5.1413881700000004E-3</v>
      </c>
      <c r="F278">
        <v>1</v>
      </c>
      <c r="G278">
        <v>1</v>
      </c>
      <c r="H278" s="4">
        <v>0</v>
      </c>
      <c r="I278">
        <v>8</v>
      </c>
      <c r="J278">
        <v>3925</v>
      </c>
      <c r="K278">
        <v>0</v>
      </c>
      <c r="L278">
        <v>0</v>
      </c>
      <c r="M278">
        <v>0</v>
      </c>
      <c r="N278">
        <v>0</v>
      </c>
      <c r="O278" t="str">
        <f t="shared" si="13"/>
        <v>C</v>
      </c>
      <c r="P278" t="str">
        <f t="shared" si="14"/>
        <v>A</v>
      </c>
      <c r="Q278">
        <f>IF(M278=0,0,VLOOKUP(M278,'aa codes'!$A$1:'aa codes'!$B$21,2))</f>
        <v>0</v>
      </c>
      <c r="R278">
        <f>IF(N278=0,0,VLOOKUP(N278,'aa codes'!$A$1:'aa codes'!$B$21,2))</f>
        <v>0</v>
      </c>
      <c r="S278" s="1">
        <v>5.1413881700000004E-3</v>
      </c>
      <c r="T278" s="1">
        <v>0</v>
      </c>
    </row>
    <row r="279" spans="1:20">
      <c r="A279">
        <v>9</v>
      </c>
      <c r="B279">
        <v>135792826</v>
      </c>
      <c r="C279" t="str">
        <f t="shared" si="12"/>
        <v>9:135792826</v>
      </c>
      <c r="D279">
        <v>4</v>
      </c>
      <c r="E279" s="1">
        <v>5.07614213E-3</v>
      </c>
      <c r="F279">
        <v>3</v>
      </c>
      <c r="G279">
        <v>1</v>
      </c>
      <c r="H279" s="4">
        <v>0</v>
      </c>
      <c r="I279">
        <v>8</v>
      </c>
      <c r="J279">
        <v>3924</v>
      </c>
      <c r="K279">
        <v>0</v>
      </c>
      <c r="L279">
        <v>0</v>
      </c>
      <c r="M279">
        <v>0</v>
      </c>
      <c r="N279">
        <v>0</v>
      </c>
      <c r="O279" t="str">
        <f t="shared" si="13"/>
        <v>T</v>
      </c>
      <c r="P279" t="str">
        <f t="shared" si="14"/>
        <v>C</v>
      </c>
      <c r="Q279">
        <f>IF(M279=0,0,VLOOKUP(M279,'aa codes'!$A$1:'aa codes'!$B$21,2))</f>
        <v>0</v>
      </c>
      <c r="R279">
        <f>IF(N279=0,0,VLOOKUP(N279,'aa codes'!$A$1:'aa codes'!$B$21,2))</f>
        <v>0</v>
      </c>
      <c r="S279" s="1">
        <v>0</v>
      </c>
      <c r="T279" s="1">
        <v>5.07614213E-3</v>
      </c>
    </row>
    <row r="280" spans="1:20">
      <c r="A280">
        <v>9</v>
      </c>
      <c r="B280">
        <v>135792828</v>
      </c>
      <c r="C280" t="str">
        <f t="shared" si="12"/>
        <v>9:135792828</v>
      </c>
      <c r="D280">
        <v>3</v>
      </c>
      <c r="E280" s="1">
        <v>5.1679586600000002E-3</v>
      </c>
      <c r="F280">
        <v>1</v>
      </c>
      <c r="G280">
        <v>1</v>
      </c>
      <c r="H280" s="4">
        <v>0</v>
      </c>
      <c r="I280">
        <v>8</v>
      </c>
      <c r="J280">
        <v>3922</v>
      </c>
      <c r="K280">
        <v>0</v>
      </c>
      <c r="L280">
        <v>0</v>
      </c>
      <c r="M280">
        <v>0</v>
      </c>
      <c r="N280">
        <v>0</v>
      </c>
      <c r="O280" t="str">
        <f t="shared" si="13"/>
        <v>C</v>
      </c>
      <c r="P280" t="str">
        <f t="shared" si="14"/>
        <v>A</v>
      </c>
      <c r="Q280">
        <f>IF(M280=0,0,VLOOKUP(M280,'aa codes'!$A$1:'aa codes'!$B$21,2))</f>
        <v>0</v>
      </c>
      <c r="R280">
        <f>IF(N280=0,0,VLOOKUP(N280,'aa codes'!$A$1:'aa codes'!$B$21,2))</f>
        <v>0</v>
      </c>
      <c r="S280" s="1">
        <v>5.1679586600000002E-3</v>
      </c>
      <c r="T280" s="1">
        <v>0</v>
      </c>
    </row>
    <row r="281" spans="1:20">
      <c r="A281">
        <v>9</v>
      </c>
      <c r="B281">
        <v>135792835</v>
      </c>
      <c r="C281" t="str">
        <f t="shared" si="12"/>
        <v>9:135792835</v>
      </c>
      <c r="D281">
        <v>1</v>
      </c>
      <c r="E281" s="1">
        <v>5.5865921799999997E-3</v>
      </c>
      <c r="F281">
        <v>2</v>
      </c>
      <c r="G281">
        <v>1</v>
      </c>
      <c r="H281" s="4">
        <v>0</v>
      </c>
      <c r="I281">
        <v>8</v>
      </c>
      <c r="J281">
        <v>3915</v>
      </c>
      <c r="K281">
        <v>0</v>
      </c>
      <c r="L281">
        <v>0</v>
      </c>
      <c r="M281">
        <v>0</v>
      </c>
      <c r="N281">
        <v>0</v>
      </c>
      <c r="O281" t="str">
        <f t="shared" si="13"/>
        <v>A</v>
      </c>
      <c r="P281" t="str">
        <f t="shared" si="14"/>
        <v>G</v>
      </c>
      <c r="Q281">
        <f>IF(M281=0,0,VLOOKUP(M281,'aa codes'!$A$1:'aa codes'!$B$21,2))</f>
        <v>0</v>
      </c>
      <c r="R281">
        <f>IF(N281=0,0,VLOOKUP(N281,'aa codes'!$A$1:'aa codes'!$B$21,2))</f>
        <v>0</v>
      </c>
      <c r="S281" s="1">
        <v>0</v>
      </c>
      <c r="T281" s="1">
        <v>5.5865921799999997E-3</v>
      </c>
    </row>
    <row r="282" spans="1:20">
      <c r="A282">
        <v>9</v>
      </c>
      <c r="B282">
        <v>135792837</v>
      </c>
      <c r="C282" t="str">
        <f t="shared" si="12"/>
        <v>9:135792837</v>
      </c>
      <c r="D282">
        <v>3</v>
      </c>
      <c r="E282" s="1">
        <v>5.5555555599999997E-3</v>
      </c>
      <c r="F282">
        <v>4</v>
      </c>
      <c r="G282">
        <v>1</v>
      </c>
      <c r="H282" s="4">
        <v>0</v>
      </c>
      <c r="I282">
        <v>8</v>
      </c>
      <c r="J282">
        <v>3913</v>
      </c>
      <c r="K282">
        <v>0</v>
      </c>
      <c r="L282">
        <v>0</v>
      </c>
      <c r="M282">
        <v>0</v>
      </c>
      <c r="N282">
        <v>0</v>
      </c>
      <c r="O282" t="str">
        <f t="shared" si="13"/>
        <v>C</v>
      </c>
      <c r="P282" t="str">
        <f t="shared" si="14"/>
        <v>T</v>
      </c>
      <c r="Q282">
        <f>IF(M282=0,0,VLOOKUP(M282,'aa codes'!$A$1:'aa codes'!$B$21,2))</f>
        <v>0</v>
      </c>
      <c r="R282">
        <f>IF(N282=0,0,VLOOKUP(N282,'aa codes'!$A$1:'aa codes'!$B$21,2))</f>
        <v>0</v>
      </c>
      <c r="S282" s="1">
        <v>0</v>
      </c>
      <c r="T282" s="1">
        <v>5.5555555599999997E-3</v>
      </c>
    </row>
    <row r="283" spans="1:20">
      <c r="A283">
        <v>9</v>
      </c>
      <c r="B283">
        <v>135792841</v>
      </c>
      <c r="C283" t="str">
        <f t="shared" si="12"/>
        <v>9:135792841</v>
      </c>
      <c r="D283">
        <v>3</v>
      </c>
      <c r="E283" s="1">
        <v>5.07614213E-3</v>
      </c>
      <c r="F283">
        <v>4</v>
      </c>
      <c r="G283">
        <v>1</v>
      </c>
      <c r="H283" s="4">
        <v>0</v>
      </c>
      <c r="I283">
        <v>8</v>
      </c>
      <c r="J283">
        <v>3909</v>
      </c>
      <c r="K283">
        <v>0</v>
      </c>
      <c r="L283">
        <v>0</v>
      </c>
      <c r="M283">
        <v>0</v>
      </c>
      <c r="N283">
        <v>0</v>
      </c>
      <c r="O283" t="str">
        <f t="shared" si="13"/>
        <v>C</v>
      </c>
      <c r="P283" t="str">
        <f t="shared" si="14"/>
        <v>T</v>
      </c>
      <c r="Q283">
        <f>IF(M283=0,0,VLOOKUP(M283,'aa codes'!$A$1:'aa codes'!$B$21,2))</f>
        <v>0</v>
      </c>
      <c r="R283">
        <f>IF(N283=0,0,VLOOKUP(N283,'aa codes'!$A$1:'aa codes'!$B$21,2))</f>
        <v>0</v>
      </c>
      <c r="S283" s="1">
        <v>0</v>
      </c>
      <c r="T283" s="1">
        <v>5.07614213E-3</v>
      </c>
    </row>
    <row r="284" spans="1:20">
      <c r="A284">
        <v>9</v>
      </c>
      <c r="B284">
        <v>135792842</v>
      </c>
      <c r="C284" t="str">
        <f t="shared" si="12"/>
        <v>9:135792842</v>
      </c>
      <c r="D284">
        <v>3</v>
      </c>
      <c r="E284" s="1">
        <v>5.1020408199999997E-3</v>
      </c>
      <c r="F284">
        <v>4</v>
      </c>
      <c r="G284">
        <v>1</v>
      </c>
      <c r="H284" s="4">
        <v>0</v>
      </c>
      <c r="I284">
        <v>8</v>
      </c>
      <c r="J284">
        <v>3908</v>
      </c>
      <c r="K284">
        <v>0</v>
      </c>
      <c r="L284">
        <v>0</v>
      </c>
      <c r="M284">
        <v>0</v>
      </c>
      <c r="N284">
        <v>0</v>
      </c>
      <c r="O284" t="str">
        <f t="shared" si="13"/>
        <v>C</v>
      </c>
      <c r="P284" t="str">
        <f t="shared" si="14"/>
        <v>T</v>
      </c>
      <c r="Q284">
        <f>IF(M284=0,0,VLOOKUP(M284,'aa codes'!$A$1:'aa codes'!$B$21,2))</f>
        <v>0</v>
      </c>
      <c r="R284">
        <f>IF(N284=0,0,VLOOKUP(N284,'aa codes'!$A$1:'aa codes'!$B$21,2))</f>
        <v>0</v>
      </c>
      <c r="S284" s="1">
        <v>0</v>
      </c>
      <c r="T284" s="1">
        <v>5.1020408199999997E-3</v>
      </c>
    </row>
    <row r="285" spans="1:20">
      <c r="A285">
        <v>9</v>
      </c>
      <c r="B285">
        <v>135792843</v>
      </c>
      <c r="C285" t="str">
        <f t="shared" si="12"/>
        <v>9:135792843</v>
      </c>
      <c r="D285">
        <v>1</v>
      </c>
      <c r="E285" s="1">
        <v>5.1813471499999996E-3</v>
      </c>
      <c r="F285">
        <v>2</v>
      </c>
      <c r="G285">
        <v>1</v>
      </c>
      <c r="H285" s="4">
        <v>0</v>
      </c>
      <c r="I285">
        <v>8</v>
      </c>
      <c r="J285">
        <v>3907</v>
      </c>
      <c r="K285">
        <v>0</v>
      </c>
      <c r="L285">
        <v>0</v>
      </c>
      <c r="M285">
        <v>0</v>
      </c>
      <c r="N285">
        <v>0</v>
      </c>
      <c r="O285" t="str">
        <f t="shared" si="13"/>
        <v>A</v>
      </c>
      <c r="P285" t="str">
        <f t="shared" si="14"/>
        <v>G</v>
      </c>
      <c r="Q285">
        <f>IF(M285=0,0,VLOOKUP(M285,'aa codes'!$A$1:'aa codes'!$B$21,2))</f>
        <v>0</v>
      </c>
      <c r="R285">
        <f>IF(N285=0,0,VLOOKUP(N285,'aa codes'!$A$1:'aa codes'!$B$21,2))</f>
        <v>0</v>
      </c>
      <c r="S285" s="1">
        <v>2.72479564E-3</v>
      </c>
      <c r="T285" s="1">
        <v>5.1813471499999996E-3</v>
      </c>
    </row>
    <row r="286" spans="1:20">
      <c r="A286">
        <v>9</v>
      </c>
      <c r="B286">
        <v>135792845</v>
      </c>
      <c r="C286" t="str">
        <f t="shared" si="12"/>
        <v>9:135792845</v>
      </c>
      <c r="D286">
        <v>2</v>
      </c>
      <c r="E286" s="1">
        <v>5.2356020900000003E-3</v>
      </c>
      <c r="F286">
        <v>1</v>
      </c>
      <c r="G286">
        <v>1</v>
      </c>
      <c r="H286" s="4">
        <v>0</v>
      </c>
      <c r="I286">
        <v>8</v>
      </c>
      <c r="J286">
        <v>3905</v>
      </c>
      <c r="K286">
        <v>0</v>
      </c>
      <c r="L286">
        <v>0</v>
      </c>
      <c r="M286">
        <v>0</v>
      </c>
      <c r="N286">
        <v>0</v>
      </c>
      <c r="O286" t="str">
        <f t="shared" si="13"/>
        <v>G</v>
      </c>
      <c r="P286" t="str">
        <f t="shared" si="14"/>
        <v>A</v>
      </c>
      <c r="Q286">
        <f>IF(M286=0,0,VLOOKUP(M286,'aa codes'!$A$1:'aa codes'!$B$21,2))</f>
        <v>0</v>
      </c>
      <c r="R286">
        <f>IF(N286=0,0,VLOOKUP(N286,'aa codes'!$A$1:'aa codes'!$B$21,2))</f>
        <v>0</v>
      </c>
      <c r="S286" s="1">
        <v>0</v>
      </c>
      <c r="T286" s="1">
        <v>5.2356020900000003E-3</v>
      </c>
    </row>
    <row r="287" spans="1:20">
      <c r="A287">
        <v>9</v>
      </c>
      <c r="B287">
        <v>135792846</v>
      </c>
      <c r="C287" t="str">
        <f t="shared" si="12"/>
        <v>9:135792846</v>
      </c>
      <c r="D287">
        <v>4</v>
      </c>
      <c r="E287" s="1">
        <v>5.2910052900000002E-3</v>
      </c>
      <c r="F287">
        <v>2</v>
      </c>
      <c r="G287">
        <v>1</v>
      </c>
      <c r="H287" s="4">
        <v>0</v>
      </c>
      <c r="I287">
        <v>8</v>
      </c>
      <c r="J287">
        <v>3904</v>
      </c>
      <c r="K287">
        <v>0</v>
      </c>
      <c r="L287">
        <v>0</v>
      </c>
      <c r="M287">
        <v>0</v>
      </c>
      <c r="N287">
        <v>0</v>
      </c>
      <c r="O287" t="str">
        <f t="shared" si="13"/>
        <v>T</v>
      </c>
      <c r="P287" t="str">
        <f t="shared" si="14"/>
        <v>G</v>
      </c>
      <c r="Q287">
        <f>IF(M287=0,0,VLOOKUP(M287,'aa codes'!$A$1:'aa codes'!$B$21,2))</f>
        <v>0</v>
      </c>
      <c r="R287">
        <f>IF(N287=0,0,VLOOKUP(N287,'aa codes'!$A$1:'aa codes'!$B$21,2))</f>
        <v>0</v>
      </c>
      <c r="S287" s="1">
        <v>0</v>
      </c>
      <c r="T287" s="1">
        <v>5.2910052900000002E-3</v>
      </c>
    </row>
    <row r="288" spans="1:20">
      <c r="A288">
        <v>9</v>
      </c>
      <c r="B288">
        <v>135792847</v>
      </c>
      <c r="C288" t="str">
        <f t="shared" si="12"/>
        <v>9:135792847</v>
      </c>
      <c r="D288">
        <v>1</v>
      </c>
      <c r="E288" s="1">
        <v>5.3475935799999997E-3</v>
      </c>
      <c r="F288">
        <v>3</v>
      </c>
      <c r="G288">
        <v>1</v>
      </c>
      <c r="H288" s="4">
        <v>0</v>
      </c>
      <c r="I288">
        <v>8</v>
      </c>
      <c r="J288">
        <v>3903</v>
      </c>
      <c r="K288">
        <v>0</v>
      </c>
      <c r="L288">
        <v>0</v>
      </c>
      <c r="M288">
        <v>0</v>
      </c>
      <c r="N288">
        <v>0</v>
      </c>
      <c r="O288" t="str">
        <f t="shared" si="13"/>
        <v>A</v>
      </c>
      <c r="P288" t="str">
        <f t="shared" si="14"/>
        <v>C</v>
      </c>
      <c r="Q288">
        <f>IF(M288=0,0,VLOOKUP(M288,'aa codes'!$A$1:'aa codes'!$B$21,2))</f>
        <v>0</v>
      </c>
      <c r="R288">
        <f>IF(N288=0,0,VLOOKUP(N288,'aa codes'!$A$1:'aa codes'!$B$21,2))</f>
        <v>0</v>
      </c>
      <c r="S288" s="1">
        <v>0</v>
      </c>
      <c r="T288" s="1">
        <v>5.3475935799999997E-3</v>
      </c>
    </row>
    <row r="289" spans="1:20">
      <c r="A289">
        <v>9</v>
      </c>
      <c r="B289">
        <v>135792851</v>
      </c>
      <c r="C289" t="str">
        <f t="shared" si="12"/>
        <v>9:135792851</v>
      </c>
      <c r="D289">
        <v>2</v>
      </c>
      <c r="E289" s="1">
        <v>5.2910052900000002E-3</v>
      </c>
      <c r="F289">
        <v>1</v>
      </c>
      <c r="G289">
        <v>1</v>
      </c>
      <c r="H289" s="4">
        <v>0</v>
      </c>
      <c r="I289">
        <v>8</v>
      </c>
      <c r="J289">
        <v>3899</v>
      </c>
      <c r="K289">
        <v>0</v>
      </c>
      <c r="L289">
        <v>0</v>
      </c>
      <c r="M289">
        <v>0</v>
      </c>
      <c r="N289">
        <v>0</v>
      </c>
      <c r="O289" t="str">
        <f t="shared" si="13"/>
        <v>G</v>
      </c>
      <c r="P289" t="str">
        <f t="shared" si="14"/>
        <v>A</v>
      </c>
      <c r="Q289">
        <f>IF(M289=0,0,VLOOKUP(M289,'aa codes'!$A$1:'aa codes'!$B$21,2))</f>
        <v>0</v>
      </c>
      <c r="R289">
        <f>IF(N289=0,0,VLOOKUP(N289,'aa codes'!$A$1:'aa codes'!$B$21,2))</f>
        <v>0</v>
      </c>
      <c r="S289" s="1">
        <v>0</v>
      </c>
      <c r="T289" s="1">
        <v>5.2910052900000002E-3</v>
      </c>
    </row>
    <row r="290" spans="1:20">
      <c r="A290">
        <v>9</v>
      </c>
      <c r="B290">
        <v>135792853</v>
      </c>
      <c r="C290" t="str">
        <f t="shared" si="12"/>
        <v>9:135792853</v>
      </c>
      <c r="D290">
        <v>2</v>
      </c>
      <c r="E290" s="1">
        <v>5.4054054100000004E-3</v>
      </c>
      <c r="F290">
        <v>3</v>
      </c>
      <c r="G290">
        <v>1</v>
      </c>
      <c r="H290" s="4">
        <v>0</v>
      </c>
      <c r="I290">
        <v>8</v>
      </c>
      <c r="J290">
        <v>3897</v>
      </c>
      <c r="K290">
        <v>0</v>
      </c>
      <c r="L290">
        <v>0</v>
      </c>
      <c r="M290">
        <v>0</v>
      </c>
      <c r="N290">
        <v>0</v>
      </c>
      <c r="O290" t="str">
        <f t="shared" si="13"/>
        <v>G</v>
      </c>
      <c r="P290" t="str">
        <f t="shared" si="14"/>
        <v>C</v>
      </c>
      <c r="Q290">
        <f>IF(M290=0,0,VLOOKUP(M290,'aa codes'!$A$1:'aa codes'!$B$21,2))</f>
        <v>0</v>
      </c>
      <c r="R290">
        <f>IF(N290=0,0,VLOOKUP(N290,'aa codes'!$A$1:'aa codes'!$B$21,2))</f>
        <v>0</v>
      </c>
      <c r="S290" s="1">
        <v>0</v>
      </c>
      <c r="T290" s="1">
        <v>5.4054054100000004E-3</v>
      </c>
    </row>
    <row r="291" spans="1:20">
      <c r="A291">
        <v>9</v>
      </c>
      <c r="B291">
        <v>135792855</v>
      </c>
      <c r="C291" t="str">
        <f t="shared" si="12"/>
        <v>9:135792855</v>
      </c>
      <c r="D291">
        <v>4</v>
      </c>
      <c r="E291" s="1">
        <v>5.6179775300000002E-3</v>
      </c>
      <c r="F291">
        <v>3</v>
      </c>
      <c r="G291">
        <v>1</v>
      </c>
      <c r="H291" s="4">
        <v>0</v>
      </c>
      <c r="I291">
        <v>8</v>
      </c>
      <c r="J291">
        <v>3895</v>
      </c>
      <c r="K291">
        <v>0</v>
      </c>
      <c r="L291">
        <v>0</v>
      </c>
      <c r="M291">
        <v>0</v>
      </c>
      <c r="N291">
        <v>0</v>
      </c>
      <c r="O291" t="str">
        <f t="shared" si="13"/>
        <v>T</v>
      </c>
      <c r="P291" t="str">
        <f t="shared" si="14"/>
        <v>C</v>
      </c>
      <c r="Q291">
        <f>IF(M291=0,0,VLOOKUP(M291,'aa codes'!$A$1:'aa codes'!$B$21,2))</f>
        <v>0</v>
      </c>
      <c r="R291">
        <f>IF(N291=0,0,VLOOKUP(N291,'aa codes'!$A$1:'aa codes'!$B$21,2))</f>
        <v>0</v>
      </c>
      <c r="S291" s="1">
        <v>5.6179775300000002E-3</v>
      </c>
      <c r="T291" s="1">
        <v>0</v>
      </c>
    </row>
    <row r="292" spans="1:20">
      <c r="A292">
        <v>9</v>
      </c>
      <c r="B292">
        <v>135792864</v>
      </c>
      <c r="C292" t="str">
        <f t="shared" si="12"/>
        <v>9:135792864</v>
      </c>
      <c r="D292">
        <v>3</v>
      </c>
      <c r="E292" s="1">
        <v>5.8823529400000001E-3</v>
      </c>
      <c r="F292">
        <v>14</v>
      </c>
      <c r="G292">
        <v>1</v>
      </c>
      <c r="H292" s="4">
        <v>0</v>
      </c>
      <c r="I292">
        <v>8</v>
      </c>
      <c r="J292">
        <v>3886</v>
      </c>
      <c r="K292">
        <v>0</v>
      </c>
      <c r="L292">
        <v>0</v>
      </c>
      <c r="M292">
        <v>0</v>
      </c>
      <c r="N292">
        <v>0</v>
      </c>
      <c r="O292" t="str">
        <f t="shared" si="13"/>
        <v>C</v>
      </c>
      <c r="P292" t="str">
        <f t="shared" si="14"/>
        <v>2NT</v>
      </c>
      <c r="Q292">
        <f>IF(M292=0,0,VLOOKUP(M292,'aa codes'!$A$1:'aa codes'!$B$21,2))</f>
        <v>0</v>
      </c>
      <c r="R292">
        <f>IF(N292=0,0,VLOOKUP(N292,'aa codes'!$A$1:'aa codes'!$B$21,2))</f>
        <v>0</v>
      </c>
      <c r="S292" s="1">
        <v>0</v>
      </c>
      <c r="T292" s="1">
        <v>5.8823529400000001E-3</v>
      </c>
    </row>
    <row r="293" spans="1:20">
      <c r="A293">
        <v>9</v>
      </c>
      <c r="B293">
        <v>135792865</v>
      </c>
      <c r="C293" t="str">
        <f t="shared" si="12"/>
        <v>9:135792865</v>
      </c>
      <c r="D293">
        <v>3</v>
      </c>
      <c r="E293" s="1">
        <v>5.7142857100000001E-3</v>
      </c>
      <c r="F293">
        <v>1</v>
      </c>
      <c r="G293">
        <v>1</v>
      </c>
      <c r="H293" s="4">
        <v>0</v>
      </c>
      <c r="I293">
        <v>8</v>
      </c>
      <c r="J293">
        <v>3885</v>
      </c>
      <c r="K293">
        <v>0</v>
      </c>
      <c r="L293">
        <v>0</v>
      </c>
      <c r="M293">
        <v>0</v>
      </c>
      <c r="N293">
        <v>0</v>
      </c>
      <c r="O293" t="str">
        <f t="shared" si="13"/>
        <v>C</v>
      </c>
      <c r="P293" t="str">
        <f t="shared" si="14"/>
        <v>A</v>
      </c>
      <c r="Q293">
        <f>IF(M293=0,0,VLOOKUP(M293,'aa codes'!$A$1:'aa codes'!$B$21,2))</f>
        <v>0</v>
      </c>
      <c r="R293">
        <f>IF(N293=0,0,VLOOKUP(N293,'aa codes'!$A$1:'aa codes'!$B$21,2))</f>
        <v>0</v>
      </c>
      <c r="S293" s="1">
        <v>5.7142857100000001E-3</v>
      </c>
      <c r="T293" s="1">
        <v>0</v>
      </c>
    </row>
    <row r="294" spans="1:20">
      <c r="A294">
        <v>9</v>
      </c>
      <c r="B294">
        <v>135792866</v>
      </c>
      <c r="C294" t="str">
        <f t="shared" si="12"/>
        <v>9:135792866</v>
      </c>
      <c r="D294">
        <v>3</v>
      </c>
      <c r="E294" s="1">
        <v>5.98802395E-3</v>
      </c>
      <c r="F294">
        <v>1</v>
      </c>
      <c r="G294">
        <v>1</v>
      </c>
      <c r="H294" s="4">
        <v>0</v>
      </c>
      <c r="I294">
        <v>8</v>
      </c>
      <c r="J294">
        <v>3884</v>
      </c>
      <c r="K294">
        <v>0</v>
      </c>
      <c r="L294">
        <v>0</v>
      </c>
      <c r="M294">
        <v>0</v>
      </c>
      <c r="N294">
        <v>0</v>
      </c>
      <c r="O294" t="str">
        <f t="shared" si="13"/>
        <v>C</v>
      </c>
      <c r="P294" t="str">
        <f t="shared" si="14"/>
        <v>A</v>
      </c>
      <c r="Q294">
        <f>IF(M294=0,0,VLOOKUP(M294,'aa codes'!$A$1:'aa codes'!$B$21,2))</f>
        <v>0</v>
      </c>
      <c r="R294">
        <f>IF(N294=0,0,VLOOKUP(N294,'aa codes'!$A$1:'aa codes'!$B$21,2))</f>
        <v>0</v>
      </c>
      <c r="S294" s="1">
        <v>0</v>
      </c>
      <c r="T294" s="1">
        <v>5.98802395E-3</v>
      </c>
    </row>
    <row r="295" spans="1:20">
      <c r="A295">
        <v>9</v>
      </c>
      <c r="B295">
        <v>135792867</v>
      </c>
      <c r="C295" t="str">
        <f t="shared" si="12"/>
        <v>9:135792867</v>
      </c>
      <c r="D295">
        <v>1</v>
      </c>
      <c r="E295" s="1">
        <v>6.0606060600000003E-3</v>
      </c>
      <c r="F295">
        <v>2</v>
      </c>
      <c r="G295">
        <v>1</v>
      </c>
      <c r="H295" s="4">
        <v>0</v>
      </c>
      <c r="I295">
        <v>8</v>
      </c>
      <c r="J295">
        <v>3883</v>
      </c>
      <c r="K295">
        <v>0</v>
      </c>
      <c r="L295">
        <v>0</v>
      </c>
      <c r="M295">
        <v>0</v>
      </c>
      <c r="N295">
        <v>0</v>
      </c>
      <c r="O295" t="str">
        <f t="shared" si="13"/>
        <v>A</v>
      </c>
      <c r="P295" t="str">
        <f t="shared" si="14"/>
        <v>G</v>
      </c>
      <c r="Q295">
        <f>IF(M295=0,0,VLOOKUP(M295,'aa codes'!$A$1:'aa codes'!$B$21,2))</f>
        <v>0</v>
      </c>
      <c r="R295">
        <f>IF(N295=0,0,VLOOKUP(N295,'aa codes'!$A$1:'aa codes'!$B$21,2))</f>
        <v>0</v>
      </c>
      <c r="S295" s="1">
        <v>2.8169014099999998E-3</v>
      </c>
      <c r="T295" s="1">
        <v>6.0606060600000003E-3</v>
      </c>
    </row>
    <row r="296" spans="1:20">
      <c r="A296">
        <v>9</v>
      </c>
      <c r="B296">
        <v>135792871</v>
      </c>
      <c r="C296" t="str">
        <f t="shared" si="12"/>
        <v>9:135792871</v>
      </c>
      <c r="D296">
        <v>3</v>
      </c>
      <c r="E296" s="1">
        <v>6.0975609799999997E-3</v>
      </c>
      <c r="F296">
        <v>4</v>
      </c>
      <c r="G296">
        <v>1</v>
      </c>
      <c r="H296" s="4">
        <v>0</v>
      </c>
      <c r="I296">
        <v>8</v>
      </c>
      <c r="J296">
        <v>3879</v>
      </c>
      <c r="K296">
        <v>0</v>
      </c>
      <c r="L296">
        <v>0</v>
      </c>
      <c r="M296">
        <v>0</v>
      </c>
      <c r="N296">
        <v>0</v>
      </c>
      <c r="O296" t="str">
        <f t="shared" si="13"/>
        <v>C</v>
      </c>
      <c r="P296" t="str">
        <f t="shared" si="14"/>
        <v>T</v>
      </c>
      <c r="Q296">
        <f>IF(M296=0,0,VLOOKUP(M296,'aa codes'!$A$1:'aa codes'!$B$21,2))</f>
        <v>0</v>
      </c>
      <c r="R296">
        <f>IF(N296=0,0,VLOOKUP(N296,'aa codes'!$A$1:'aa codes'!$B$21,2))</f>
        <v>0</v>
      </c>
      <c r="S296" s="1">
        <v>0</v>
      </c>
      <c r="T296" s="1">
        <v>6.0975609799999997E-3</v>
      </c>
    </row>
    <row r="297" spans="1:20">
      <c r="A297">
        <v>9</v>
      </c>
      <c r="B297">
        <v>135792880</v>
      </c>
      <c r="C297" t="str">
        <f t="shared" si="12"/>
        <v>9:135792880</v>
      </c>
      <c r="D297">
        <v>1</v>
      </c>
      <c r="E297" s="1">
        <v>5.9523809499999998E-3</v>
      </c>
      <c r="F297">
        <v>2</v>
      </c>
      <c r="G297">
        <v>1</v>
      </c>
      <c r="H297" s="4">
        <v>0</v>
      </c>
      <c r="I297">
        <v>8</v>
      </c>
      <c r="J297">
        <v>3870</v>
      </c>
      <c r="K297">
        <v>0</v>
      </c>
      <c r="L297">
        <v>0</v>
      </c>
      <c r="M297">
        <v>0</v>
      </c>
      <c r="N297">
        <v>0</v>
      </c>
      <c r="O297" t="str">
        <f t="shared" si="13"/>
        <v>A</v>
      </c>
      <c r="P297" t="str">
        <f t="shared" si="14"/>
        <v>G</v>
      </c>
      <c r="Q297">
        <f>IF(M297=0,0,VLOOKUP(M297,'aa codes'!$A$1:'aa codes'!$B$21,2))</f>
        <v>0</v>
      </c>
      <c r="R297">
        <f>IF(N297=0,0,VLOOKUP(N297,'aa codes'!$A$1:'aa codes'!$B$21,2))</f>
        <v>0</v>
      </c>
      <c r="S297" s="1">
        <v>3.0674846600000001E-3</v>
      </c>
      <c r="T297" s="1">
        <v>5.9523809499999998E-3</v>
      </c>
    </row>
    <row r="298" spans="1:20">
      <c r="A298">
        <v>9</v>
      </c>
      <c r="B298">
        <v>135792884</v>
      </c>
      <c r="C298" t="str">
        <f t="shared" si="12"/>
        <v>9:135792884</v>
      </c>
      <c r="D298">
        <v>1</v>
      </c>
      <c r="E298" s="1">
        <v>5.9523809499999998E-3</v>
      </c>
      <c r="F298">
        <v>3</v>
      </c>
      <c r="G298">
        <v>1</v>
      </c>
      <c r="H298" s="4">
        <v>0</v>
      </c>
      <c r="I298">
        <v>8</v>
      </c>
      <c r="J298">
        <v>3866</v>
      </c>
      <c r="K298">
        <v>0</v>
      </c>
      <c r="L298">
        <v>0</v>
      </c>
      <c r="M298">
        <v>0</v>
      </c>
      <c r="N298">
        <v>0</v>
      </c>
      <c r="O298" t="str">
        <f t="shared" si="13"/>
        <v>A</v>
      </c>
      <c r="P298" t="str">
        <f t="shared" si="14"/>
        <v>C</v>
      </c>
      <c r="Q298">
        <f>IF(M298=0,0,VLOOKUP(M298,'aa codes'!$A$1:'aa codes'!$B$21,2))</f>
        <v>0</v>
      </c>
      <c r="R298">
        <f>IF(N298=0,0,VLOOKUP(N298,'aa codes'!$A$1:'aa codes'!$B$21,2))</f>
        <v>0</v>
      </c>
      <c r="S298" s="1">
        <v>0</v>
      </c>
      <c r="T298" s="1">
        <v>5.9523809499999998E-3</v>
      </c>
    </row>
    <row r="299" spans="1:20">
      <c r="A299">
        <v>9</v>
      </c>
      <c r="B299">
        <v>135792892</v>
      </c>
      <c r="C299" t="str">
        <f t="shared" si="12"/>
        <v>9:135792892</v>
      </c>
      <c r="D299">
        <v>3</v>
      </c>
      <c r="E299" s="1">
        <v>1.1627907E-2</v>
      </c>
      <c r="F299">
        <v>4</v>
      </c>
      <c r="G299">
        <v>1</v>
      </c>
      <c r="H299" s="4">
        <v>0</v>
      </c>
      <c r="I299">
        <v>8</v>
      </c>
      <c r="J299">
        <v>3858</v>
      </c>
      <c r="K299">
        <v>0</v>
      </c>
      <c r="L299">
        <v>0</v>
      </c>
      <c r="M299">
        <v>0</v>
      </c>
      <c r="N299">
        <v>0</v>
      </c>
      <c r="O299" t="str">
        <f t="shared" si="13"/>
        <v>C</v>
      </c>
      <c r="P299" t="str">
        <f t="shared" si="14"/>
        <v>T</v>
      </c>
      <c r="Q299">
        <f>IF(M299=0,0,VLOOKUP(M299,'aa codes'!$A$1:'aa codes'!$B$21,2))</f>
        <v>0</v>
      </c>
      <c r="R299">
        <f>IF(N299=0,0,VLOOKUP(N299,'aa codes'!$A$1:'aa codes'!$B$21,2))</f>
        <v>0</v>
      </c>
      <c r="S299" s="1">
        <v>3.2362459500000001E-3</v>
      </c>
      <c r="T299" s="1">
        <v>1.1627907E-2</v>
      </c>
    </row>
    <row r="300" spans="1:20">
      <c r="A300">
        <v>9</v>
      </c>
      <c r="B300">
        <v>135792907</v>
      </c>
      <c r="C300" t="str">
        <f t="shared" si="12"/>
        <v>9:135792907</v>
      </c>
      <c r="D300">
        <v>2</v>
      </c>
      <c r="E300" s="1">
        <v>5.64971751E-3</v>
      </c>
      <c r="F300">
        <v>1</v>
      </c>
      <c r="G300">
        <v>1</v>
      </c>
      <c r="H300" s="4">
        <v>0</v>
      </c>
      <c r="I300">
        <v>8</v>
      </c>
      <c r="J300">
        <v>3843</v>
      </c>
      <c r="K300">
        <v>0</v>
      </c>
      <c r="L300">
        <v>0</v>
      </c>
      <c r="M300">
        <v>0</v>
      </c>
      <c r="N300">
        <v>0</v>
      </c>
      <c r="O300" t="str">
        <f t="shared" si="13"/>
        <v>G</v>
      </c>
      <c r="P300" t="str">
        <f t="shared" si="14"/>
        <v>A</v>
      </c>
      <c r="Q300">
        <f>IF(M300=0,0,VLOOKUP(M300,'aa codes'!$A$1:'aa codes'!$B$21,2))</f>
        <v>0</v>
      </c>
      <c r="R300">
        <f>IF(N300=0,0,VLOOKUP(N300,'aa codes'!$A$1:'aa codes'!$B$21,2))</f>
        <v>0</v>
      </c>
      <c r="S300" s="1">
        <v>0</v>
      </c>
      <c r="T300" s="1">
        <v>5.64971751E-3</v>
      </c>
    </row>
    <row r="301" spans="1:20">
      <c r="A301">
        <v>9</v>
      </c>
      <c r="B301">
        <v>135792918</v>
      </c>
      <c r="C301" t="str">
        <f t="shared" si="12"/>
        <v>9:135792918</v>
      </c>
      <c r="D301">
        <v>3</v>
      </c>
      <c r="E301" s="1">
        <v>5.26315789E-3</v>
      </c>
      <c r="F301">
        <v>4</v>
      </c>
      <c r="G301">
        <v>1</v>
      </c>
      <c r="H301" s="4">
        <v>0</v>
      </c>
      <c r="I301">
        <v>8</v>
      </c>
      <c r="J301">
        <v>3832</v>
      </c>
      <c r="K301">
        <v>0</v>
      </c>
      <c r="L301">
        <v>0</v>
      </c>
      <c r="M301">
        <v>0</v>
      </c>
      <c r="N301">
        <v>0</v>
      </c>
      <c r="O301" t="str">
        <f t="shared" si="13"/>
        <v>C</v>
      </c>
      <c r="P301" t="str">
        <f t="shared" si="14"/>
        <v>T</v>
      </c>
      <c r="Q301">
        <f>IF(M301=0,0,VLOOKUP(M301,'aa codes'!$A$1:'aa codes'!$B$21,2))</f>
        <v>0</v>
      </c>
      <c r="R301">
        <f>IF(N301=0,0,VLOOKUP(N301,'aa codes'!$A$1:'aa codes'!$B$21,2))</f>
        <v>0</v>
      </c>
      <c r="S301" s="1">
        <v>0</v>
      </c>
      <c r="T301" s="1">
        <v>5.26315789E-3</v>
      </c>
    </row>
    <row r="302" spans="1:20">
      <c r="A302">
        <v>9</v>
      </c>
      <c r="B302">
        <v>135792919</v>
      </c>
      <c r="C302" t="str">
        <f t="shared" si="12"/>
        <v>9:135792919</v>
      </c>
      <c r="D302">
        <v>1</v>
      </c>
      <c r="E302" s="1">
        <v>5.3475935799999997E-3</v>
      </c>
      <c r="F302">
        <v>2</v>
      </c>
      <c r="G302">
        <v>1</v>
      </c>
      <c r="H302" s="4">
        <v>0</v>
      </c>
      <c r="I302">
        <v>8</v>
      </c>
      <c r="J302">
        <v>3831</v>
      </c>
      <c r="K302">
        <v>0</v>
      </c>
      <c r="L302">
        <v>0</v>
      </c>
      <c r="M302">
        <v>0</v>
      </c>
      <c r="N302">
        <v>0</v>
      </c>
      <c r="O302" t="str">
        <f t="shared" si="13"/>
        <v>A</v>
      </c>
      <c r="P302" t="str">
        <f t="shared" si="14"/>
        <v>G</v>
      </c>
      <c r="Q302">
        <f>IF(M302=0,0,VLOOKUP(M302,'aa codes'!$A$1:'aa codes'!$B$21,2))</f>
        <v>0</v>
      </c>
      <c r="R302">
        <f>IF(N302=0,0,VLOOKUP(N302,'aa codes'!$A$1:'aa codes'!$B$21,2))</f>
        <v>0</v>
      </c>
      <c r="S302" s="1">
        <v>0</v>
      </c>
      <c r="T302" s="1">
        <v>5.3475935799999997E-3</v>
      </c>
    </row>
    <row r="303" spans="1:20">
      <c r="A303">
        <v>9</v>
      </c>
      <c r="B303">
        <v>135792924</v>
      </c>
      <c r="C303" t="str">
        <f t="shared" si="12"/>
        <v>9:135792924</v>
      </c>
      <c r="D303">
        <v>2</v>
      </c>
      <c r="E303" s="1">
        <v>5.0505050500000001E-3</v>
      </c>
      <c r="F303">
        <v>1</v>
      </c>
      <c r="G303">
        <v>1</v>
      </c>
      <c r="H303" s="4">
        <v>9.7E-5</v>
      </c>
      <c r="I303">
        <v>8</v>
      </c>
      <c r="J303">
        <v>3826</v>
      </c>
      <c r="K303">
        <v>0</v>
      </c>
      <c r="L303">
        <v>0</v>
      </c>
      <c r="M303">
        <v>0</v>
      </c>
      <c r="N303">
        <v>0</v>
      </c>
      <c r="O303" t="str">
        <f t="shared" si="13"/>
        <v>G</v>
      </c>
      <c r="P303" t="str">
        <f t="shared" si="14"/>
        <v>A</v>
      </c>
      <c r="Q303">
        <f>IF(M303=0,0,VLOOKUP(M303,'aa codes'!$A$1:'aa codes'!$B$21,2))</f>
        <v>0</v>
      </c>
      <c r="R303">
        <f>IF(N303=0,0,VLOOKUP(N303,'aa codes'!$A$1:'aa codes'!$B$21,2))</f>
        <v>0</v>
      </c>
      <c r="S303" s="1">
        <v>0</v>
      </c>
      <c r="T303" s="1">
        <v>5.0505050500000001E-3</v>
      </c>
    </row>
    <row r="304" spans="1:20">
      <c r="A304">
        <v>9</v>
      </c>
      <c r="B304">
        <v>135792939</v>
      </c>
      <c r="C304" t="str">
        <f t="shared" si="12"/>
        <v>9:135792939</v>
      </c>
      <c r="D304">
        <v>2</v>
      </c>
      <c r="E304" s="1">
        <v>8.9686098699999998E-3</v>
      </c>
      <c r="F304">
        <v>1</v>
      </c>
      <c r="G304">
        <v>1</v>
      </c>
      <c r="H304" s="4">
        <v>0</v>
      </c>
      <c r="I304">
        <v>8</v>
      </c>
      <c r="J304">
        <v>3811</v>
      </c>
      <c r="K304">
        <v>0</v>
      </c>
      <c r="L304">
        <v>0</v>
      </c>
      <c r="M304">
        <v>0</v>
      </c>
      <c r="N304">
        <v>0</v>
      </c>
      <c r="O304" t="str">
        <f t="shared" si="13"/>
        <v>G</v>
      </c>
      <c r="P304" t="str">
        <f t="shared" si="14"/>
        <v>A</v>
      </c>
      <c r="Q304">
        <f>IF(M304=0,0,VLOOKUP(M304,'aa codes'!$A$1:'aa codes'!$B$21,2))</f>
        <v>0</v>
      </c>
      <c r="R304">
        <f>IF(N304=0,0,VLOOKUP(N304,'aa codes'!$A$1:'aa codes'!$B$21,2))</f>
        <v>0</v>
      </c>
      <c r="S304" s="1">
        <v>0</v>
      </c>
      <c r="T304" s="1">
        <v>8.9686098699999998E-3</v>
      </c>
    </row>
    <row r="305" spans="1:20">
      <c r="A305">
        <v>9</v>
      </c>
      <c r="B305">
        <v>135793035</v>
      </c>
      <c r="C305" t="str">
        <f t="shared" si="12"/>
        <v>9:135793035</v>
      </c>
      <c r="D305">
        <v>4</v>
      </c>
      <c r="E305" s="1">
        <v>0.50411522600000003</v>
      </c>
      <c r="F305">
        <v>1</v>
      </c>
      <c r="G305">
        <v>1</v>
      </c>
      <c r="H305" s="4">
        <v>0.59030000000000005</v>
      </c>
      <c r="I305">
        <v>8</v>
      </c>
      <c r="J305">
        <v>3715</v>
      </c>
      <c r="K305">
        <v>0</v>
      </c>
      <c r="L305">
        <v>0</v>
      </c>
      <c r="M305">
        <v>0</v>
      </c>
      <c r="N305">
        <v>0</v>
      </c>
      <c r="O305" t="str">
        <f t="shared" si="13"/>
        <v>T</v>
      </c>
      <c r="P305" t="str">
        <f t="shared" si="14"/>
        <v>A</v>
      </c>
      <c r="Q305">
        <f>IF(M305=0,0,VLOOKUP(M305,'aa codes'!$A$1:'aa codes'!$B$21,2))</f>
        <v>0</v>
      </c>
      <c r="R305">
        <f>IF(N305=0,0,VLOOKUP(N305,'aa codes'!$A$1:'aa codes'!$B$21,2))</f>
        <v>0</v>
      </c>
      <c r="S305" s="1">
        <v>1.3986014000000001E-3</v>
      </c>
      <c r="T305" s="1">
        <v>0.50411522600000003</v>
      </c>
    </row>
    <row r="306" spans="1:20">
      <c r="A306">
        <v>9</v>
      </c>
      <c r="B306">
        <v>135798259</v>
      </c>
      <c r="C306" t="str">
        <f t="shared" si="12"/>
        <v>9:135798259</v>
      </c>
      <c r="D306">
        <v>2</v>
      </c>
      <c r="E306" s="1">
        <v>7.7942322699999997E-3</v>
      </c>
      <c r="F306">
        <v>1</v>
      </c>
      <c r="G306">
        <v>2</v>
      </c>
      <c r="H306" s="4">
        <v>0</v>
      </c>
      <c r="I306">
        <v>6</v>
      </c>
      <c r="J306">
        <v>476</v>
      </c>
      <c r="K306">
        <v>0</v>
      </c>
      <c r="L306">
        <v>0</v>
      </c>
      <c r="M306">
        <v>0</v>
      </c>
      <c r="N306">
        <v>0</v>
      </c>
      <c r="O306" t="str">
        <f t="shared" si="13"/>
        <v>G</v>
      </c>
      <c r="P306" t="str">
        <f t="shared" si="14"/>
        <v>A</v>
      </c>
      <c r="Q306">
        <f>IF(M306=0,0,VLOOKUP(M306,'aa codes'!$A$1:'aa codes'!$B$21,2))</f>
        <v>0</v>
      </c>
      <c r="R306">
        <f>IF(N306=0,0,VLOOKUP(N306,'aa codes'!$A$1:'aa codes'!$B$21,2))</f>
        <v>0</v>
      </c>
      <c r="S306" s="1">
        <v>7.7942322699999997E-3</v>
      </c>
      <c r="T306" s="1">
        <v>6.17283951E-3</v>
      </c>
    </row>
    <row r="307" spans="1:20">
      <c r="A307">
        <v>9</v>
      </c>
      <c r="B307">
        <v>135798260</v>
      </c>
      <c r="C307" t="str">
        <f t="shared" si="12"/>
        <v>9:135798260</v>
      </c>
      <c r="D307">
        <v>1</v>
      </c>
      <c r="E307" s="1">
        <v>6.7750677499999997E-3</v>
      </c>
      <c r="F307">
        <v>2</v>
      </c>
      <c r="G307">
        <v>2</v>
      </c>
      <c r="H307" s="4">
        <v>0</v>
      </c>
      <c r="I307">
        <v>6</v>
      </c>
      <c r="J307">
        <v>475</v>
      </c>
      <c r="K307">
        <v>0</v>
      </c>
      <c r="L307">
        <v>0</v>
      </c>
      <c r="M307">
        <v>0</v>
      </c>
      <c r="N307">
        <v>0</v>
      </c>
      <c r="O307" t="str">
        <f t="shared" si="13"/>
        <v>A</v>
      </c>
      <c r="P307" t="str">
        <f t="shared" si="14"/>
        <v>G</v>
      </c>
      <c r="Q307">
        <f>IF(M307=0,0,VLOOKUP(M307,'aa codes'!$A$1:'aa codes'!$B$21,2))</f>
        <v>0</v>
      </c>
      <c r="R307">
        <f>IF(N307=0,0,VLOOKUP(N307,'aa codes'!$A$1:'aa codes'!$B$21,2))</f>
        <v>0</v>
      </c>
      <c r="S307" s="1">
        <v>5.8881256100000003E-3</v>
      </c>
      <c r="T307" s="1">
        <v>6.7750677499999997E-3</v>
      </c>
    </row>
    <row r="308" spans="1:20">
      <c r="A308">
        <v>9</v>
      </c>
      <c r="B308">
        <v>135798270</v>
      </c>
      <c r="C308" t="str">
        <f t="shared" si="12"/>
        <v>9:135798270</v>
      </c>
      <c r="D308">
        <v>1</v>
      </c>
      <c r="E308" s="1">
        <v>7.4257425700000003E-3</v>
      </c>
      <c r="F308">
        <v>3</v>
      </c>
      <c r="G308">
        <v>1</v>
      </c>
      <c r="H308" s="4">
        <v>3.2400000000000001E-5</v>
      </c>
      <c r="I308">
        <v>6</v>
      </c>
      <c r="J308">
        <v>465</v>
      </c>
      <c r="K308">
        <v>0</v>
      </c>
      <c r="L308">
        <v>0</v>
      </c>
      <c r="M308">
        <v>0</v>
      </c>
      <c r="N308">
        <v>0</v>
      </c>
      <c r="O308" t="str">
        <f t="shared" si="13"/>
        <v>A</v>
      </c>
      <c r="P308" t="str">
        <f t="shared" si="14"/>
        <v>C</v>
      </c>
      <c r="Q308">
        <f>IF(M308=0,0,VLOOKUP(M308,'aa codes'!$A$1:'aa codes'!$B$21,2))</f>
        <v>0</v>
      </c>
      <c r="R308">
        <f>IF(N308=0,0,VLOOKUP(N308,'aa codes'!$A$1:'aa codes'!$B$21,2))</f>
        <v>0</v>
      </c>
      <c r="S308" s="1">
        <v>4.5207956600000002E-3</v>
      </c>
      <c r="T308" s="1">
        <v>7.4257425700000003E-3</v>
      </c>
    </row>
    <row r="309" spans="1:20">
      <c r="A309">
        <v>9</v>
      </c>
      <c r="B309">
        <v>135798636</v>
      </c>
      <c r="C309" t="str">
        <f t="shared" si="12"/>
        <v>9:135798636</v>
      </c>
      <c r="D309">
        <v>1</v>
      </c>
      <c r="E309" s="1">
        <v>0.51296830000000004</v>
      </c>
      <c r="F309">
        <v>2</v>
      </c>
      <c r="G309">
        <v>1</v>
      </c>
      <c r="H309" s="4">
        <v>6.1019999999999998E-3</v>
      </c>
      <c r="I309">
        <v>6</v>
      </c>
      <c r="J309">
        <v>99</v>
      </c>
      <c r="K309">
        <v>0</v>
      </c>
      <c r="L309">
        <v>0</v>
      </c>
      <c r="M309">
        <v>0</v>
      </c>
      <c r="N309">
        <v>0</v>
      </c>
      <c r="O309" t="str">
        <f t="shared" si="13"/>
        <v>A</v>
      </c>
      <c r="P309" t="str">
        <f t="shared" si="14"/>
        <v>G</v>
      </c>
      <c r="Q309">
        <f>IF(M309=0,0,VLOOKUP(M309,'aa codes'!$A$1:'aa codes'!$B$21,2))</f>
        <v>0</v>
      </c>
      <c r="R309">
        <f>IF(N309=0,0,VLOOKUP(N309,'aa codes'!$A$1:'aa codes'!$B$21,2))</f>
        <v>0</v>
      </c>
      <c r="S309" s="1">
        <v>0</v>
      </c>
      <c r="T309" s="1">
        <v>0.51296830000000004</v>
      </c>
    </row>
    <row r="310" spans="1:20">
      <c r="A310">
        <v>9</v>
      </c>
      <c r="B310">
        <v>135799293</v>
      </c>
      <c r="C310" t="str">
        <f t="shared" si="12"/>
        <v>9:135799293</v>
      </c>
      <c r="D310">
        <v>2</v>
      </c>
      <c r="E310" s="1">
        <v>5.7251908399999999E-3</v>
      </c>
      <c r="F310">
        <v>1</v>
      </c>
      <c r="G310">
        <v>2</v>
      </c>
      <c r="H310" s="4">
        <v>0</v>
      </c>
      <c r="I310">
        <v>6</v>
      </c>
      <c r="J310">
        <v>-414</v>
      </c>
      <c r="K310">
        <v>0</v>
      </c>
      <c r="L310">
        <v>0</v>
      </c>
      <c r="M310">
        <v>0</v>
      </c>
      <c r="N310">
        <v>0</v>
      </c>
      <c r="O310" t="str">
        <f t="shared" si="13"/>
        <v>G</v>
      </c>
      <c r="P310" t="str">
        <f t="shared" si="14"/>
        <v>A</v>
      </c>
      <c r="Q310">
        <f>IF(M310=0,0,VLOOKUP(M310,'aa codes'!$A$1:'aa codes'!$B$21,2))</f>
        <v>0</v>
      </c>
      <c r="R310">
        <f>IF(N310=0,0,VLOOKUP(N310,'aa codes'!$A$1:'aa codes'!$B$21,2))</f>
        <v>0</v>
      </c>
      <c r="S310" s="1">
        <v>5.0314465399999998E-3</v>
      </c>
      <c r="T310" s="1">
        <v>5.7251908399999999E-3</v>
      </c>
    </row>
    <row r="311" spans="1:20">
      <c r="A311">
        <v>9</v>
      </c>
      <c r="B311">
        <v>135799297</v>
      </c>
      <c r="C311" t="str">
        <f t="shared" si="12"/>
        <v>9:135799297</v>
      </c>
      <c r="D311">
        <v>1</v>
      </c>
      <c r="E311" s="1">
        <v>5.9311981E-3</v>
      </c>
      <c r="F311">
        <v>4</v>
      </c>
      <c r="G311">
        <v>2</v>
      </c>
      <c r="H311" s="4">
        <v>0</v>
      </c>
      <c r="I311">
        <v>6</v>
      </c>
      <c r="J311">
        <v>-418</v>
      </c>
      <c r="K311">
        <v>0</v>
      </c>
      <c r="L311">
        <v>0</v>
      </c>
      <c r="M311">
        <v>0</v>
      </c>
      <c r="N311">
        <v>0</v>
      </c>
      <c r="O311" t="str">
        <f t="shared" si="13"/>
        <v>A</v>
      </c>
      <c r="P311" t="str">
        <f t="shared" si="14"/>
        <v>T</v>
      </c>
      <c r="Q311">
        <f>IF(M311=0,0,VLOOKUP(M311,'aa codes'!$A$1:'aa codes'!$B$21,2))</f>
        <v>0</v>
      </c>
      <c r="R311">
        <f>IF(N311=0,0,VLOOKUP(N311,'aa codes'!$A$1:'aa codes'!$B$21,2))</f>
        <v>0</v>
      </c>
      <c r="S311" s="1">
        <v>5.9311981E-3</v>
      </c>
      <c r="T311" s="1">
        <v>5.3571428599999997E-3</v>
      </c>
    </row>
    <row r="312" spans="1:20">
      <c r="A312">
        <v>9</v>
      </c>
      <c r="B312">
        <v>135799298</v>
      </c>
      <c r="C312" t="str">
        <f t="shared" si="12"/>
        <v>9:135799298</v>
      </c>
      <c r="D312">
        <v>4</v>
      </c>
      <c r="E312" s="1">
        <v>5.5045871600000002E-3</v>
      </c>
      <c r="F312">
        <v>1</v>
      </c>
      <c r="G312">
        <v>1</v>
      </c>
      <c r="H312" s="4">
        <v>0</v>
      </c>
      <c r="I312">
        <v>6</v>
      </c>
      <c r="J312">
        <v>-419</v>
      </c>
      <c r="K312">
        <v>0</v>
      </c>
      <c r="L312">
        <v>0</v>
      </c>
      <c r="M312">
        <v>0</v>
      </c>
      <c r="N312">
        <v>0</v>
      </c>
      <c r="O312" t="str">
        <f t="shared" si="13"/>
        <v>T</v>
      </c>
      <c r="P312" t="str">
        <f t="shared" si="14"/>
        <v>A</v>
      </c>
      <c r="Q312">
        <f>IF(M312=0,0,VLOOKUP(M312,'aa codes'!$A$1:'aa codes'!$B$21,2))</f>
        <v>0</v>
      </c>
      <c r="R312">
        <f>IF(N312=0,0,VLOOKUP(N312,'aa codes'!$A$1:'aa codes'!$B$21,2))</f>
        <v>0</v>
      </c>
      <c r="S312" s="1">
        <v>3.7128712900000001E-3</v>
      </c>
      <c r="T312" s="1">
        <v>5.5045871600000002E-3</v>
      </c>
    </row>
    <row r="313" spans="1:20">
      <c r="A313">
        <v>9</v>
      </c>
      <c r="B313">
        <v>135799299</v>
      </c>
      <c r="C313" t="str">
        <f t="shared" si="12"/>
        <v>9:135799299</v>
      </c>
      <c r="D313">
        <v>4</v>
      </c>
      <c r="E313" s="1">
        <v>1.10732538E-2</v>
      </c>
      <c r="F313">
        <v>1</v>
      </c>
      <c r="G313">
        <v>2</v>
      </c>
      <c r="H313" s="4">
        <v>0</v>
      </c>
      <c r="I313">
        <v>6</v>
      </c>
      <c r="J313">
        <v>-420</v>
      </c>
      <c r="K313">
        <v>0</v>
      </c>
      <c r="L313">
        <v>0</v>
      </c>
      <c r="M313">
        <v>0</v>
      </c>
      <c r="N313">
        <v>0</v>
      </c>
      <c r="O313" t="str">
        <f t="shared" si="13"/>
        <v>T</v>
      </c>
      <c r="P313" t="str">
        <f t="shared" si="14"/>
        <v>A</v>
      </c>
      <c r="Q313">
        <f>IF(M313=0,0,VLOOKUP(M313,'aa codes'!$A$1:'aa codes'!$B$21,2))</f>
        <v>0</v>
      </c>
      <c r="R313">
        <f>IF(N313=0,0,VLOOKUP(N313,'aa codes'!$A$1:'aa codes'!$B$21,2))</f>
        <v>0</v>
      </c>
      <c r="S313" s="1">
        <v>1.10732538E-2</v>
      </c>
      <c r="T313" s="1">
        <v>1.0230179000000001E-2</v>
      </c>
    </row>
    <row r="314" spans="1:20">
      <c r="A314">
        <v>9</v>
      </c>
      <c r="B314">
        <v>135799300</v>
      </c>
      <c r="C314" t="str">
        <f t="shared" si="12"/>
        <v>9:135799300</v>
      </c>
      <c r="D314">
        <v>1</v>
      </c>
      <c r="E314" s="1">
        <v>7.4906367E-3</v>
      </c>
      <c r="F314">
        <v>4</v>
      </c>
      <c r="G314">
        <v>2</v>
      </c>
      <c r="H314" s="4">
        <v>0</v>
      </c>
      <c r="I314">
        <v>6</v>
      </c>
      <c r="J314">
        <v>-421</v>
      </c>
      <c r="K314">
        <v>0</v>
      </c>
      <c r="L314">
        <v>0</v>
      </c>
      <c r="M314">
        <v>0</v>
      </c>
      <c r="N314">
        <v>0</v>
      </c>
      <c r="O314" t="str">
        <f t="shared" si="13"/>
        <v>A</v>
      </c>
      <c r="P314" t="str">
        <f t="shared" si="14"/>
        <v>T</v>
      </c>
      <c r="Q314">
        <f>IF(M314=0,0,VLOOKUP(M314,'aa codes'!$A$1:'aa codes'!$B$21,2))</f>
        <v>0</v>
      </c>
      <c r="R314">
        <f>IF(N314=0,0,VLOOKUP(N314,'aa codes'!$A$1:'aa codes'!$B$21,2))</f>
        <v>0</v>
      </c>
      <c r="S314" s="1">
        <v>5.1880674400000002E-3</v>
      </c>
      <c r="T314" s="1">
        <v>7.4906367E-3</v>
      </c>
    </row>
    <row r="315" spans="1:20">
      <c r="A315">
        <v>9</v>
      </c>
      <c r="B315">
        <v>135799314</v>
      </c>
      <c r="C315" t="str">
        <f t="shared" si="12"/>
        <v>9:135799314</v>
      </c>
      <c r="D315">
        <v>3</v>
      </c>
      <c r="E315" s="1">
        <v>9.4339622599999996E-3</v>
      </c>
      <c r="F315">
        <v>1</v>
      </c>
      <c r="G315">
        <v>1</v>
      </c>
      <c r="H315" s="4">
        <v>0</v>
      </c>
      <c r="I315">
        <v>6</v>
      </c>
      <c r="J315">
        <v>-435</v>
      </c>
      <c r="K315">
        <v>0</v>
      </c>
      <c r="L315">
        <v>0</v>
      </c>
      <c r="M315">
        <v>0</v>
      </c>
      <c r="N315">
        <v>0</v>
      </c>
      <c r="O315" t="str">
        <f t="shared" si="13"/>
        <v>C</v>
      </c>
      <c r="P315" t="str">
        <f t="shared" si="14"/>
        <v>A</v>
      </c>
      <c r="Q315">
        <f>IF(M315=0,0,VLOOKUP(M315,'aa codes'!$A$1:'aa codes'!$B$21,2))</f>
        <v>0</v>
      </c>
      <c r="R315">
        <f>IF(N315=0,0,VLOOKUP(N315,'aa codes'!$A$1:'aa codes'!$B$21,2))</f>
        <v>0</v>
      </c>
      <c r="S315" s="1">
        <v>9.4339622599999996E-3</v>
      </c>
      <c r="T315" s="1">
        <v>2.0120724300000002E-3</v>
      </c>
    </row>
    <row r="316" spans="1:20">
      <c r="A316">
        <v>9</v>
      </c>
      <c r="B316">
        <v>135799917</v>
      </c>
      <c r="C316" t="str">
        <f t="shared" si="12"/>
        <v>9:135799917</v>
      </c>
      <c r="D316">
        <v>2</v>
      </c>
      <c r="E316" s="1">
        <v>0.50108459900000002</v>
      </c>
      <c r="F316">
        <v>4</v>
      </c>
      <c r="G316">
        <v>2</v>
      </c>
      <c r="H316" s="4">
        <v>0.69310000000000005</v>
      </c>
      <c r="I316">
        <v>6</v>
      </c>
      <c r="J316">
        <v>-1038</v>
      </c>
      <c r="K316">
        <v>0</v>
      </c>
      <c r="L316">
        <v>0</v>
      </c>
      <c r="M316">
        <v>0</v>
      </c>
      <c r="N316">
        <v>0</v>
      </c>
      <c r="O316" t="str">
        <f t="shared" si="13"/>
        <v>G</v>
      </c>
      <c r="P316" t="str">
        <f t="shared" si="14"/>
        <v>T</v>
      </c>
      <c r="Q316">
        <f>IF(M316=0,0,VLOOKUP(M316,'aa codes'!$A$1:'aa codes'!$B$21,2))</f>
        <v>0</v>
      </c>
      <c r="R316">
        <f>IF(N316=0,0,VLOOKUP(N316,'aa codes'!$A$1:'aa codes'!$B$21,2))</f>
        <v>0</v>
      </c>
      <c r="S316" s="1">
        <v>0.50108459900000002</v>
      </c>
      <c r="T316" s="1">
        <v>0.49172185400000001</v>
      </c>
    </row>
    <row r="317" spans="1:20">
      <c r="A317">
        <v>9</v>
      </c>
      <c r="B317">
        <v>135802083</v>
      </c>
      <c r="C317" t="str">
        <f t="shared" si="12"/>
        <v>9:135802083</v>
      </c>
      <c r="D317">
        <v>4</v>
      </c>
      <c r="E317" s="1">
        <v>9.6618357500000002E-3</v>
      </c>
      <c r="F317">
        <v>2</v>
      </c>
      <c r="G317">
        <v>1</v>
      </c>
      <c r="H317" s="4">
        <v>0</v>
      </c>
      <c r="I317">
        <v>4</v>
      </c>
      <c r="J317">
        <v>505</v>
      </c>
      <c r="K317">
        <v>0</v>
      </c>
      <c r="L317">
        <v>0</v>
      </c>
      <c r="M317">
        <v>0</v>
      </c>
      <c r="N317">
        <v>0</v>
      </c>
      <c r="O317" t="str">
        <f t="shared" si="13"/>
        <v>T</v>
      </c>
      <c r="P317" t="str">
        <f t="shared" si="14"/>
        <v>G</v>
      </c>
      <c r="Q317">
        <f>IF(M317=0,0,VLOOKUP(M317,'aa codes'!$A$1:'aa codes'!$B$21,2))</f>
        <v>0</v>
      </c>
      <c r="R317">
        <f>IF(N317=0,0,VLOOKUP(N317,'aa codes'!$A$1:'aa codes'!$B$21,2))</f>
        <v>0</v>
      </c>
      <c r="S317" s="1">
        <v>9.6618357500000002E-3</v>
      </c>
      <c r="T317" s="1">
        <v>4.4742729300000002E-3</v>
      </c>
    </row>
    <row r="318" spans="1:20">
      <c r="A318">
        <v>9</v>
      </c>
      <c r="B318">
        <v>135802085</v>
      </c>
      <c r="C318" t="str">
        <f t="shared" si="12"/>
        <v>9:135802085</v>
      </c>
      <c r="D318">
        <v>2</v>
      </c>
      <c r="E318" s="1">
        <v>6.9124423999999997E-3</v>
      </c>
      <c r="F318">
        <v>4</v>
      </c>
      <c r="G318">
        <v>1</v>
      </c>
      <c r="H318" s="4">
        <v>0</v>
      </c>
      <c r="I318">
        <v>4</v>
      </c>
      <c r="J318">
        <v>503</v>
      </c>
      <c r="K318">
        <v>0</v>
      </c>
      <c r="L318">
        <v>0</v>
      </c>
      <c r="M318">
        <v>0</v>
      </c>
      <c r="N318">
        <v>0</v>
      </c>
      <c r="O318" t="str">
        <f t="shared" si="13"/>
        <v>G</v>
      </c>
      <c r="P318" t="str">
        <f t="shared" si="14"/>
        <v>T</v>
      </c>
      <c r="Q318">
        <f>IF(M318=0,0,VLOOKUP(M318,'aa codes'!$A$1:'aa codes'!$B$21,2))</f>
        <v>0</v>
      </c>
      <c r="R318">
        <f>IF(N318=0,0,VLOOKUP(N318,'aa codes'!$A$1:'aa codes'!$B$21,2))</f>
        <v>0</v>
      </c>
      <c r="S318" s="1">
        <v>1.6835016799999999E-3</v>
      </c>
      <c r="T318" s="1">
        <v>6.9124423999999997E-3</v>
      </c>
    </row>
    <row r="319" spans="1:20">
      <c r="A319">
        <v>9</v>
      </c>
      <c r="B319">
        <v>135802086</v>
      </c>
      <c r="C319" t="str">
        <f t="shared" si="12"/>
        <v>9:135802086</v>
      </c>
      <c r="D319">
        <v>1</v>
      </c>
      <c r="E319" s="1">
        <v>7.0257611199999997E-3</v>
      </c>
      <c r="F319">
        <v>4</v>
      </c>
      <c r="G319">
        <v>2</v>
      </c>
      <c r="H319" s="4">
        <v>0</v>
      </c>
      <c r="I319">
        <v>4</v>
      </c>
      <c r="J319">
        <v>502</v>
      </c>
      <c r="K319">
        <v>0</v>
      </c>
      <c r="L319">
        <v>0</v>
      </c>
      <c r="M319">
        <v>0</v>
      </c>
      <c r="N319">
        <v>0</v>
      </c>
      <c r="O319" t="str">
        <f t="shared" si="13"/>
        <v>A</v>
      </c>
      <c r="P319" t="str">
        <f t="shared" si="14"/>
        <v>T</v>
      </c>
      <c r="Q319">
        <f>IF(M319=0,0,VLOOKUP(M319,'aa codes'!$A$1:'aa codes'!$B$21,2))</f>
        <v>0</v>
      </c>
      <c r="R319">
        <f>IF(N319=0,0,VLOOKUP(N319,'aa codes'!$A$1:'aa codes'!$B$21,2))</f>
        <v>0</v>
      </c>
      <c r="S319" s="1">
        <v>5.0847457600000003E-3</v>
      </c>
      <c r="T319" s="1">
        <v>7.0257611199999997E-3</v>
      </c>
    </row>
    <row r="320" spans="1:20">
      <c r="A320">
        <v>9</v>
      </c>
      <c r="B320">
        <v>135802163</v>
      </c>
      <c r="C320" t="str">
        <f t="shared" si="12"/>
        <v>9:135802163</v>
      </c>
      <c r="D320">
        <v>2</v>
      </c>
      <c r="E320" s="1">
        <v>5.0505050500000001E-3</v>
      </c>
      <c r="F320">
        <v>1</v>
      </c>
      <c r="G320">
        <v>1</v>
      </c>
      <c r="H320" s="4">
        <v>0</v>
      </c>
      <c r="I320">
        <v>4</v>
      </c>
      <c r="J320">
        <v>425</v>
      </c>
      <c r="K320">
        <v>0</v>
      </c>
      <c r="L320">
        <v>0</v>
      </c>
      <c r="M320">
        <v>0</v>
      </c>
      <c r="N320">
        <v>0</v>
      </c>
      <c r="O320" t="str">
        <f t="shared" si="13"/>
        <v>G</v>
      </c>
      <c r="P320" t="str">
        <f t="shared" si="14"/>
        <v>A</v>
      </c>
      <c r="Q320">
        <f>IF(M320=0,0,VLOOKUP(M320,'aa codes'!$A$1:'aa codes'!$B$21,2))</f>
        <v>0</v>
      </c>
      <c r="R320">
        <f>IF(N320=0,0,VLOOKUP(N320,'aa codes'!$A$1:'aa codes'!$B$21,2))</f>
        <v>0</v>
      </c>
      <c r="S320" s="1">
        <v>0</v>
      </c>
      <c r="T320" s="1">
        <v>5.0505050500000001E-3</v>
      </c>
    </row>
    <row r="321" spans="1:20">
      <c r="A321">
        <v>9</v>
      </c>
      <c r="B321">
        <v>135802179</v>
      </c>
      <c r="C321" t="str">
        <f t="shared" si="12"/>
        <v>9:135802179</v>
      </c>
      <c r="D321">
        <v>1</v>
      </c>
      <c r="E321" s="1">
        <v>5.6818181800000001E-3</v>
      </c>
      <c r="F321">
        <v>2</v>
      </c>
      <c r="G321">
        <v>1</v>
      </c>
      <c r="H321" s="4">
        <v>0</v>
      </c>
      <c r="I321">
        <v>4</v>
      </c>
      <c r="J321">
        <v>409</v>
      </c>
      <c r="K321">
        <v>0</v>
      </c>
      <c r="L321">
        <v>0</v>
      </c>
      <c r="M321">
        <v>0</v>
      </c>
      <c r="N321">
        <v>0</v>
      </c>
      <c r="O321" t="str">
        <f t="shared" si="13"/>
        <v>A</v>
      </c>
      <c r="P321" t="str">
        <f t="shared" si="14"/>
        <v>G</v>
      </c>
      <c r="Q321">
        <f>IF(M321=0,0,VLOOKUP(M321,'aa codes'!$A$1:'aa codes'!$B$21,2))</f>
        <v>0</v>
      </c>
      <c r="R321">
        <f>IF(N321=0,0,VLOOKUP(N321,'aa codes'!$A$1:'aa codes'!$B$21,2))</f>
        <v>0</v>
      </c>
      <c r="S321" s="1">
        <v>2.5125628100000001E-3</v>
      </c>
      <c r="T321" s="1">
        <v>5.6818181800000001E-3</v>
      </c>
    </row>
    <row r="322" spans="1:20">
      <c r="A322">
        <v>9</v>
      </c>
      <c r="B322">
        <v>135802182</v>
      </c>
      <c r="C322" t="str">
        <f t="shared" si="12"/>
        <v>9:135802182</v>
      </c>
      <c r="D322">
        <v>4</v>
      </c>
      <c r="E322" s="1">
        <v>5.7803468199999998E-3</v>
      </c>
      <c r="F322">
        <v>3</v>
      </c>
      <c r="G322">
        <v>1</v>
      </c>
      <c r="H322" s="4">
        <v>0</v>
      </c>
      <c r="I322">
        <v>4</v>
      </c>
      <c r="J322">
        <v>406</v>
      </c>
      <c r="K322">
        <v>0</v>
      </c>
      <c r="L322">
        <v>0</v>
      </c>
      <c r="M322">
        <v>0</v>
      </c>
      <c r="N322">
        <v>0</v>
      </c>
      <c r="O322" t="str">
        <f t="shared" si="13"/>
        <v>T</v>
      </c>
      <c r="P322" t="str">
        <f t="shared" si="14"/>
        <v>C</v>
      </c>
      <c r="Q322">
        <f>IF(M322=0,0,VLOOKUP(M322,'aa codes'!$A$1:'aa codes'!$B$21,2))</f>
        <v>0</v>
      </c>
      <c r="R322">
        <f>IF(N322=0,0,VLOOKUP(N322,'aa codes'!$A$1:'aa codes'!$B$21,2))</f>
        <v>0</v>
      </c>
      <c r="S322" s="1">
        <v>0</v>
      </c>
      <c r="T322" s="1">
        <v>5.7803468199999998E-3</v>
      </c>
    </row>
    <row r="323" spans="1:20">
      <c r="A323">
        <v>9</v>
      </c>
      <c r="B323">
        <v>135802186</v>
      </c>
      <c r="C323" t="str">
        <f t="shared" ref="C323:C386" si="15">A323&amp;":"&amp;B323</f>
        <v>9:135802186</v>
      </c>
      <c r="D323">
        <v>4</v>
      </c>
      <c r="E323" s="1">
        <v>0.5</v>
      </c>
      <c r="F323">
        <v>3</v>
      </c>
      <c r="G323">
        <v>1</v>
      </c>
      <c r="H323" s="4">
        <v>2.9090000000000002E-4</v>
      </c>
      <c r="I323">
        <v>4</v>
      </c>
      <c r="J323">
        <v>402</v>
      </c>
      <c r="K323">
        <v>0</v>
      </c>
      <c r="L323">
        <v>0</v>
      </c>
      <c r="M323">
        <v>0</v>
      </c>
      <c r="N323">
        <v>0</v>
      </c>
      <c r="O323" t="str">
        <f t="shared" ref="O323:O386" si="16">IF(D323=1,"A",IF(D323=2,"G",IF(D323=3,"C",IF(D323=4,"T","2NT"))))</f>
        <v>T</v>
      </c>
      <c r="P323" t="str">
        <f t="shared" ref="P323:P386" si="17">IF(F323=1,"A",IF(F323=2,"G",IF(F323=3,"C",IF(F323=4,"T","2NT"))))</f>
        <v>C</v>
      </c>
      <c r="Q323">
        <f>IF(M323=0,0,VLOOKUP(M323,'aa codes'!$A$1:'aa codes'!$B$21,2))</f>
        <v>0</v>
      </c>
      <c r="R323">
        <f>IF(N323=0,0,VLOOKUP(N323,'aa codes'!$A$1:'aa codes'!$B$21,2))</f>
        <v>0</v>
      </c>
      <c r="S323" s="1">
        <v>0</v>
      </c>
      <c r="T323" s="1">
        <v>0.5</v>
      </c>
    </row>
    <row r="324" spans="1:20">
      <c r="A324">
        <v>9</v>
      </c>
      <c r="B324">
        <v>135802219</v>
      </c>
      <c r="C324" t="str">
        <f t="shared" si="15"/>
        <v>9:135802219</v>
      </c>
      <c r="D324">
        <v>2</v>
      </c>
      <c r="E324" s="1">
        <v>5.50964187E-3</v>
      </c>
      <c r="F324">
        <v>1</v>
      </c>
      <c r="G324">
        <v>1</v>
      </c>
      <c r="H324" s="4">
        <v>0</v>
      </c>
      <c r="I324">
        <v>4</v>
      </c>
      <c r="J324">
        <v>369</v>
      </c>
      <c r="K324">
        <v>0</v>
      </c>
      <c r="L324">
        <v>0</v>
      </c>
      <c r="M324">
        <v>0</v>
      </c>
      <c r="N324">
        <v>0</v>
      </c>
      <c r="O324" t="str">
        <f t="shared" si="16"/>
        <v>G</v>
      </c>
      <c r="P324" t="str">
        <f t="shared" si="17"/>
        <v>A</v>
      </c>
      <c r="Q324">
        <f>IF(M324=0,0,VLOOKUP(M324,'aa codes'!$A$1:'aa codes'!$B$21,2))</f>
        <v>0</v>
      </c>
      <c r="R324">
        <f>IF(N324=0,0,VLOOKUP(N324,'aa codes'!$A$1:'aa codes'!$B$21,2))</f>
        <v>0</v>
      </c>
      <c r="S324" s="1">
        <v>5.50964187E-3</v>
      </c>
      <c r="T324" s="1">
        <v>0</v>
      </c>
    </row>
    <row r="325" spans="1:20">
      <c r="A325">
        <v>9</v>
      </c>
      <c r="B325">
        <v>135802237</v>
      </c>
      <c r="C325" t="str">
        <f t="shared" si="15"/>
        <v>9:135802237</v>
      </c>
      <c r="D325">
        <v>1</v>
      </c>
      <c r="E325" s="1">
        <v>5.26315789E-3</v>
      </c>
      <c r="F325">
        <v>4</v>
      </c>
      <c r="G325">
        <v>1</v>
      </c>
      <c r="H325" s="4">
        <v>0</v>
      </c>
      <c r="I325">
        <v>4</v>
      </c>
      <c r="J325">
        <v>351</v>
      </c>
      <c r="K325">
        <v>0</v>
      </c>
      <c r="L325">
        <v>0</v>
      </c>
      <c r="M325">
        <v>0</v>
      </c>
      <c r="N325">
        <v>0</v>
      </c>
      <c r="O325" t="str">
        <f t="shared" si="16"/>
        <v>A</v>
      </c>
      <c r="P325" t="str">
        <f t="shared" si="17"/>
        <v>T</v>
      </c>
      <c r="Q325">
        <f>IF(M325=0,0,VLOOKUP(M325,'aa codes'!$A$1:'aa codes'!$B$21,2))</f>
        <v>0</v>
      </c>
      <c r="R325">
        <f>IF(N325=0,0,VLOOKUP(N325,'aa codes'!$A$1:'aa codes'!$B$21,2))</f>
        <v>0</v>
      </c>
      <c r="S325" s="1">
        <v>4.7961630699999997E-3</v>
      </c>
      <c r="T325" s="1">
        <v>5.26315789E-3</v>
      </c>
    </row>
    <row r="326" spans="1:20">
      <c r="A326">
        <v>9</v>
      </c>
      <c r="B326">
        <v>135802238</v>
      </c>
      <c r="C326" t="str">
        <f t="shared" si="15"/>
        <v>9:135802238</v>
      </c>
      <c r="D326">
        <v>4</v>
      </c>
      <c r="E326" s="1">
        <v>5.2356020900000003E-3</v>
      </c>
      <c r="F326">
        <v>1</v>
      </c>
      <c r="G326">
        <v>1</v>
      </c>
      <c r="H326" s="4">
        <v>0</v>
      </c>
      <c r="I326">
        <v>4</v>
      </c>
      <c r="J326">
        <v>350</v>
      </c>
      <c r="K326">
        <v>0</v>
      </c>
      <c r="L326">
        <v>0</v>
      </c>
      <c r="M326">
        <v>0</v>
      </c>
      <c r="N326">
        <v>0</v>
      </c>
      <c r="O326" t="str">
        <f t="shared" si="16"/>
        <v>T</v>
      </c>
      <c r="P326" t="str">
        <f t="shared" si="17"/>
        <v>A</v>
      </c>
      <c r="Q326">
        <f>IF(M326=0,0,VLOOKUP(M326,'aa codes'!$A$1:'aa codes'!$B$21,2))</f>
        <v>0</v>
      </c>
      <c r="R326">
        <f>IF(N326=0,0,VLOOKUP(N326,'aa codes'!$A$1:'aa codes'!$B$21,2))</f>
        <v>0</v>
      </c>
      <c r="S326" s="1">
        <v>2.4271844700000001E-3</v>
      </c>
      <c r="T326" s="1">
        <v>5.2356020900000003E-3</v>
      </c>
    </row>
    <row r="327" spans="1:20">
      <c r="A327">
        <v>9</v>
      </c>
      <c r="B327">
        <v>135802298</v>
      </c>
      <c r="C327" t="str">
        <f t="shared" si="15"/>
        <v>9:135802298</v>
      </c>
      <c r="D327">
        <v>1</v>
      </c>
      <c r="E327" s="1">
        <v>0.49087591200000003</v>
      </c>
      <c r="F327">
        <v>2</v>
      </c>
      <c r="G327">
        <v>2</v>
      </c>
      <c r="H327" s="4">
        <v>0.41120000000000001</v>
      </c>
      <c r="I327">
        <v>4</v>
      </c>
      <c r="J327">
        <v>290</v>
      </c>
      <c r="K327">
        <v>0</v>
      </c>
      <c r="L327">
        <v>0</v>
      </c>
      <c r="M327">
        <v>0</v>
      </c>
      <c r="N327">
        <v>0</v>
      </c>
      <c r="O327" t="str">
        <f t="shared" si="16"/>
        <v>A</v>
      </c>
      <c r="P327" t="str">
        <f t="shared" si="17"/>
        <v>G</v>
      </c>
      <c r="Q327">
        <f>IF(M327=0,0,VLOOKUP(M327,'aa codes'!$A$1:'aa codes'!$B$21,2))</f>
        <v>0</v>
      </c>
      <c r="R327">
        <f>IF(N327=0,0,VLOOKUP(N327,'aa codes'!$A$1:'aa codes'!$B$21,2))</f>
        <v>0</v>
      </c>
      <c r="S327" s="1">
        <v>0.49087591200000003</v>
      </c>
      <c r="T327" s="1">
        <v>0.48844884500000002</v>
      </c>
    </row>
    <row r="328" spans="1:20">
      <c r="A328">
        <v>9</v>
      </c>
      <c r="B328">
        <v>135802555</v>
      </c>
      <c r="C328" t="str">
        <f t="shared" si="15"/>
        <v>9:135802555</v>
      </c>
      <c r="D328">
        <v>3</v>
      </c>
      <c r="E328" s="1">
        <v>0.48837209300000001</v>
      </c>
      <c r="F328">
        <v>4</v>
      </c>
      <c r="G328">
        <v>1</v>
      </c>
      <c r="H328" s="4">
        <v>9.1430000000000001E-3</v>
      </c>
      <c r="I328">
        <v>4</v>
      </c>
      <c r="J328">
        <v>33</v>
      </c>
      <c r="K328">
        <v>0</v>
      </c>
      <c r="L328">
        <v>0</v>
      </c>
      <c r="M328">
        <v>0</v>
      </c>
      <c r="N328">
        <v>0</v>
      </c>
      <c r="O328" t="str">
        <f t="shared" si="16"/>
        <v>C</v>
      </c>
      <c r="P328" t="str">
        <f t="shared" si="17"/>
        <v>T</v>
      </c>
      <c r="Q328">
        <f>IF(M328=0,0,VLOOKUP(M328,'aa codes'!$A$1:'aa codes'!$B$21,2))</f>
        <v>0</v>
      </c>
      <c r="R328">
        <f>IF(N328=0,0,VLOOKUP(N328,'aa codes'!$A$1:'aa codes'!$B$21,2))</f>
        <v>0</v>
      </c>
      <c r="S328" s="1">
        <v>0</v>
      </c>
      <c r="T328" s="1">
        <v>0.48837209300000001</v>
      </c>
    </row>
    <row r="329" spans="1:20">
      <c r="A329">
        <v>9</v>
      </c>
      <c r="B329">
        <v>135802863</v>
      </c>
      <c r="C329" t="str">
        <f t="shared" si="15"/>
        <v>9:135802863</v>
      </c>
      <c r="D329">
        <v>1</v>
      </c>
      <c r="E329" s="1">
        <v>6.0514372199999998E-3</v>
      </c>
      <c r="F329">
        <v>4</v>
      </c>
      <c r="G329">
        <v>1</v>
      </c>
      <c r="H329" s="4">
        <v>0</v>
      </c>
      <c r="I329">
        <v>4</v>
      </c>
      <c r="J329">
        <v>-172</v>
      </c>
      <c r="K329">
        <v>0</v>
      </c>
      <c r="L329">
        <v>0</v>
      </c>
      <c r="M329">
        <v>0</v>
      </c>
      <c r="N329">
        <v>0</v>
      </c>
      <c r="O329" t="str">
        <f t="shared" si="16"/>
        <v>A</v>
      </c>
      <c r="P329" t="str">
        <f t="shared" si="17"/>
        <v>T</v>
      </c>
      <c r="Q329">
        <f>IF(M329=0,0,VLOOKUP(M329,'aa codes'!$A$1:'aa codes'!$B$21,2))</f>
        <v>0</v>
      </c>
      <c r="R329">
        <f>IF(N329=0,0,VLOOKUP(N329,'aa codes'!$A$1:'aa codes'!$B$21,2))</f>
        <v>0</v>
      </c>
      <c r="S329" s="1">
        <v>6.0514372199999998E-3</v>
      </c>
      <c r="T329" s="1">
        <v>0</v>
      </c>
    </row>
    <row r="330" spans="1:20">
      <c r="A330">
        <v>9</v>
      </c>
      <c r="B330">
        <v>135802867</v>
      </c>
      <c r="C330" t="str">
        <f t="shared" si="15"/>
        <v>9:135802867</v>
      </c>
      <c r="D330">
        <v>2</v>
      </c>
      <c r="E330" s="1">
        <v>9.4043887099999994E-3</v>
      </c>
      <c r="F330">
        <v>4</v>
      </c>
      <c r="G330">
        <v>1</v>
      </c>
      <c r="H330" s="4">
        <v>0</v>
      </c>
      <c r="I330">
        <v>4</v>
      </c>
      <c r="J330">
        <v>-176</v>
      </c>
      <c r="K330">
        <v>0</v>
      </c>
      <c r="L330">
        <v>0</v>
      </c>
      <c r="M330">
        <v>0</v>
      </c>
      <c r="N330">
        <v>0</v>
      </c>
      <c r="O330" t="str">
        <f t="shared" si="16"/>
        <v>G</v>
      </c>
      <c r="P330" t="str">
        <f t="shared" si="17"/>
        <v>T</v>
      </c>
      <c r="Q330">
        <f>IF(M330=0,0,VLOOKUP(M330,'aa codes'!$A$1:'aa codes'!$B$21,2))</f>
        <v>0</v>
      </c>
      <c r="R330">
        <f>IF(N330=0,0,VLOOKUP(N330,'aa codes'!$A$1:'aa codes'!$B$21,2))</f>
        <v>0</v>
      </c>
      <c r="S330" s="1">
        <v>9.4043887099999994E-3</v>
      </c>
      <c r="T330" s="1">
        <v>2.7855153200000001E-3</v>
      </c>
    </row>
    <row r="331" spans="1:20">
      <c r="A331">
        <v>9</v>
      </c>
      <c r="B331">
        <v>135802877</v>
      </c>
      <c r="C331" t="str">
        <f t="shared" si="15"/>
        <v>9:135802877</v>
      </c>
      <c r="D331">
        <v>2</v>
      </c>
      <c r="E331" s="1">
        <v>6.8846815800000004E-3</v>
      </c>
      <c r="F331">
        <v>4</v>
      </c>
      <c r="G331">
        <v>1</v>
      </c>
      <c r="H331" s="4">
        <v>0</v>
      </c>
      <c r="I331">
        <v>4</v>
      </c>
      <c r="J331">
        <v>-186</v>
      </c>
      <c r="K331">
        <v>0</v>
      </c>
      <c r="L331">
        <v>0</v>
      </c>
      <c r="M331">
        <v>0</v>
      </c>
      <c r="N331">
        <v>0</v>
      </c>
      <c r="O331" t="str">
        <f t="shared" si="16"/>
        <v>G</v>
      </c>
      <c r="P331" t="str">
        <f t="shared" si="17"/>
        <v>T</v>
      </c>
      <c r="Q331">
        <f>IF(M331=0,0,VLOOKUP(M331,'aa codes'!$A$1:'aa codes'!$B$21,2))</f>
        <v>0</v>
      </c>
      <c r="R331">
        <f>IF(N331=0,0,VLOOKUP(N331,'aa codes'!$A$1:'aa codes'!$B$21,2))</f>
        <v>0</v>
      </c>
      <c r="S331" s="1">
        <v>6.8846815800000004E-3</v>
      </c>
      <c r="T331" s="1">
        <v>3.2573289899999998E-3</v>
      </c>
    </row>
    <row r="332" spans="1:20">
      <c r="A332">
        <v>9</v>
      </c>
      <c r="B332">
        <v>135802878</v>
      </c>
      <c r="C332" t="str">
        <f t="shared" si="15"/>
        <v>9:135802878</v>
      </c>
      <c r="D332">
        <v>3</v>
      </c>
      <c r="E332" s="1">
        <v>6.4935064900000002E-3</v>
      </c>
      <c r="F332">
        <v>1</v>
      </c>
      <c r="G332">
        <v>1</v>
      </c>
      <c r="H332" s="4">
        <v>0</v>
      </c>
      <c r="I332">
        <v>4</v>
      </c>
      <c r="J332">
        <v>-187</v>
      </c>
      <c r="K332">
        <v>0</v>
      </c>
      <c r="L332">
        <v>0</v>
      </c>
      <c r="M332">
        <v>0</v>
      </c>
      <c r="N332">
        <v>0</v>
      </c>
      <c r="O332" t="str">
        <f t="shared" si="16"/>
        <v>C</v>
      </c>
      <c r="P332" t="str">
        <f t="shared" si="17"/>
        <v>A</v>
      </c>
      <c r="Q332">
        <f>IF(M332=0,0,VLOOKUP(M332,'aa codes'!$A$1:'aa codes'!$B$21,2))</f>
        <v>0</v>
      </c>
      <c r="R332">
        <f>IF(N332=0,0,VLOOKUP(N332,'aa codes'!$A$1:'aa codes'!$B$21,2))</f>
        <v>0</v>
      </c>
      <c r="S332" s="1">
        <v>3.2206119200000002E-3</v>
      </c>
      <c r="T332" s="1">
        <v>6.4935064900000002E-3</v>
      </c>
    </row>
    <row r="333" spans="1:20">
      <c r="A333">
        <v>9</v>
      </c>
      <c r="B333">
        <v>135802891</v>
      </c>
      <c r="C333" t="str">
        <f t="shared" si="15"/>
        <v>9:135802891</v>
      </c>
      <c r="D333">
        <v>2</v>
      </c>
      <c r="E333" s="1">
        <v>5.4347826100000001E-3</v>
      </c>
      <c r="F333">
        <v>4</v>
      </c>
      <c r="G333">
        <v>1</v>
      </c>
      <c r="H333" s="4">
        <v>0</v>
      </c>
      <c r="I333">
        <v>4</v>
      </c>
      <c r="J333">
        <v>-200</v>
      </c>
      <c r="K333">
        <v>0</v>
      </c>
      <c r="L333">
        <v>0</v>
      </c>
      <c r="M333">
        <v>0</v>
      </c>
      <c r="N333">
        <v>0</v>
      </c>
      <c r="O333" t="str">
        <f t="shared" si="16"/>
        <v>G</v>
      </c>
      <c r="P333" t="str">
        <f t="shared" si="17"/>
        <v>T</v>
      </c>
      <c r="Q333">
        <f>IF(M333=0,0,VLOOKUP(M333,'aa codes'!$A$1:'aa codes'!$B$21,2))</f>
        <v>0</v>
      </c>
      <c r="R333">
        <f>IF(N333=0,0,VLOOKUP(N333,'aa codes'!$A$1:'aa codes'!$B$21,2))</f>
        <v>0</v>
      </c>
      <c r="S333" s="1">
        <v>4.1753653399999998E-3</v>
      </c>
      <c r="T333" s="1">
        <v>5.4347826100000001E-3</v>
      </c>
    </row>
    <row r="334" spans="1:20">
      <c r="A334">
        <v>9</v>
      </c>
      <c r="B334">
        <v>135802894</v>
      </c>
      <c r="C334" t="str">
        <f t="shared" si="15"/>
        <v>9:135802894</v>
      </c>
      <c r="D334">
        <v>2</v>
      </c>
      <c r="E334" s="1">
        <v>6.4239828699999999E-3</v>
      </c>
      <c r="F334">
        <v>4</v>
      </c>
      <c r="G334">
        <v>2</v>
      </c>
      <c r="H334" s="4">
        <v>0</v>
      </c>
      <c r="I334">
        <v>4</v>
      </c>
      <c r="J334">
        <v>-203</v>
      </c>
      <c r="K334">
        <v>0</v>
      </c>
      <c r="L334">
        <v>0</v>
      </c>
      <c r="M334">
        <v>0</v>
      </c>
      <c r="N334">
        <v>0</v>
      </c>
      <c r="O334" t="str">
        <f t="shared" si="16"/>
        <v>G</v>
      </c>
      <c r="P334" t="str">
        <f t="shared" si="17"/>
        <v>T</v>
      </c>
      <c r="Q334">
        <f>IF(M334=0,0,VLOOKUP(M334,'aa codes'!$A$1:'aa codes'!$B$21,2))</f>
        <v>0</v>
      </c>
      <c r="R334">
        <f>IF(N334=0,0,VLOOKUP(N334,'aa codes'!$A$1:'aa codes'!$B$21,2))</f>
        <v>0</v>
      </c>
      <c r="S334" s="1">
        <v>6.4239828699999999E-3</v>
      </c>
      <c r="T334" s="1">
        <v>6.17283951E-3</v>
      </c>
    </row>
    <row r="335" spans="1:20">
      <c r="A335">
        <v>9</v>
      </c>
      <c r="B335">
        <v>135802895</v>
      </c>
      <c r="C335" t="str">
        <f t="shared" si="15"/>
        <v>9:135802895</v>
      </c>
      <c r="D335">
        <v>4</v>
      </c>
      <c r="E335" s="1">
        <v>5.0505050500000001E-3</v>
      </c>
      <c r="F335">
        <v>1</v>
      </c>
      <c r="G335">
        <v>1</v>
      </c>
      <c r="H335" s="4">
        <v>0</v>
      </c>
      <c r="I335">
        <v>4</v>
      </c>
      <c r="J335">
        <v>-204</v>
      </c>
      <c r="K335">
        <v>0</v>
      </c>
      <c r="L335">
        <v>0</v>
      </c>
      <c r="M335">
        <v>0</v>
      </c>
      <c r="N335">
        <v>0</v>
      </c>
      <c r="O335" t="str">
        <f t="shared" si="16"/>
        <v>T</v>
      </c>
      <c r="P335" t="str">
        <f t="shared" si="17"/>
        <v>A</v>
      </c>
      <c r="Q335">
        <f>IF(M335=0,0,VLOOKUP(M335,'aa codes'!$A$1:'aa codes'!$B$21,2))</f>
        <v>0</v>
      </c>
      <c r="R335">
        <f>IF(N335=0,0,VLOOKUP(N335,'aa codes'!$A$1:'aa codes'!$B$21,2))</f>
        <v>0</v>
      </c>
      <c r="S335" s="1">
        <v>0</v>
      </c>
      <c r="T335" s="1">
        <v>5.0505050500000001E-3</v>
      </c>
    </row>
    <row r="336" spans="1:20">
      <c r="A336">
        <v>9</v>
      </c>
      <c r="B336">
        <v>135802896</v>
      </c>
      <c r="C336" t="str">
        <f t="shared" si="15"/>
        <v>9:135802896</v>
      </c>
      <c r="D336">
        <v>3</v>
      </c>
      <c r="E336" s="1">
        <v>6.2893081799999997E-3</v>
      </c>
      <c r="F336">
        <v>4</v>
      </c>
      <c r="G336">
        <v>1</v>
      </c>
      <c r="H336" s="4">
        <v>0</v>
      </c>
      <c r="I336">
        <v>4</v>
      </c>
      <c r="J336">
        <v>-205</v>
      </c>
      <c r="K336">
        <v>0</v>
      </c>
      <c r="L336">
        <v>0</v>
      </c>
      <c r="M336">
        <v>0</v>
      </c>
      <c r="N336">
        <v>0</v>
      </c>
      <c r="O336" t="str">
        <f t="shared" si="16"/>
        <v>C</v>
      </c>
      <c r="P336" t="str">
        <f t="shared" si="17"/>
        <v>T</v>
      </c>
      <c r="Q336">
        <f>IF(M336=0,0,VLOOKUP(M336,'aa codes'!$A$1:'aa codes'!$B$21,2))</f>
        <v>0</v>
      </c>
      <c r="R336">
        <f>IF(N336=0,0,VLOOKUP(N336,'aa codes'!$A$1:'aa codes'!$B$21,2))</f>
        <v>0</v>
      </c>
      <c r="S336" s="1">
        <v>4.3956044000000001E-3</v>
      </c>
      <c r="T336" s="1">
        <v>6.2893081799999997E-3</v>
      </c>
    </row>
    <row r="337" spans="1:20">
      <c r="A337">
        <v>9</v>
      </c>
      <c r="B337">
        <v>135802897</v>
      </c>
      <c r="C337" t="str">
        <f t="shared" si="15"/>
        <v>9:135802897</v>
      </c>
      <c r="D337">
        <v>1</v>
      </c>
      <c r="E337" s="1">
        <v>1.7751479300000001E-2</v>
      </c>
      <c r="F337">
        <v>4</v>
      </c>
      <c r="G337">
        <v>1</v>
      </c>
      <c r="H337" s="4">
        <v>0</v>
      </c>
      <c r="I337">
        <v>4</v>
      </c>
      <c r="J337">
        <v>-206</v>
      </c>
      <c r="K337">
        <v>0</v>
      </c>
      <c r="L337">
        <v>0</v>
      </c>
      <c r="M337">
        <v>0</v>
      </c>
      <c r="N337">
        <v>0</v>
      </c>
      <c r="O337" t="str">
        <f t="shared" si="16"/>
        <v>A</v>
      </c>
      <c r="P337" t="str">
        <f t="shared" si="17"/>
        <v>T</v>
      </c>
      <c r="Q337">
        <f>IF(M337=0,0,VLOOKUP(M337,'aa codes'!$A$1:'aa codes'!$B$21,2))</f>
        <v>0</v>
      </c>
      <c r="R337">
        <f>IF(N337=0,0,VLOOKUP(N337,'aa codes'!$A$1:'aa codes'!$B$21,2))</f>
        <v>0</v>
      </c>
      <c r="S337" s="1">
        <v>4.3956044000000001E-3</v>
      </c>
      <c r="T337" s="1">
        <v>1.7751479300000001E-2</v>
      </c>
    </row>
    <row r="338" spans="1:20">
      <c r="A338">
        <v>9</v>
      </c>
      <c r="B338">
        <v>135802903</v>
      </c>
      <c r="C338" t="str">
        <f t="shared" si="15"/>
        <v>9:135802903</v>
      </c>
      <c r="D338">
        <v>1</v>
      </c>
      <c r="E338" s="1">
        <v>0.119205298</v>
      </c>
      <c r="F338">
        <v>4</v>
      </c>
      <c r="G338">
        <v>2</v>
      </c>
      <c r="H338" s="4">
        <v>0</v>
      </c>
      <c r="I338">
        <v>4</v>
      </c>
      <c r="J338">
        <v>-212</v>
      </c>
      <c r="K338">
        <v>0</v>
      </c>
      <c r="L338">
        <v>0</v>
      </c>
      <c r="M338">
        <v>0</v>
      </c>
      <c r="N338">
        <v>0</v>
      </c>
      <c r="O338" t="str">
        <f t="shared" si="16"/>
        <v>A</v>
      </c>
      <c r="P338" t="str">
        <f t="shared" si="17"/>
        <v>T</v>
      </c>
      <c r="Q338">
        <f>IF(M338=0,0,VLOOKUP(M338,'aa codes'!$A$1:'aa codes'!$B$21,2))</f>
        <v>0</v>
      </c>
      <c r="R338">
        <f>IF(N338=0,0,VLOOKUP(N338,'aa codes'!$A$1:'aa codes'!$B$21,2))</f>
        <v>0</v>
      </c>
      <c r="S338" s="1">
        <v>8.9005235599999996E-2</v>
      </c>
      <c r="T338" s="1">
        <v>0.119205298</v>
      </c>
    </row>
    <row r="339" spans="1:20">
      <c r="A339">
        <v>9</v>
      </c>
      <c r="B339">
        <v>135802906</v>
      </c>
      <c r="C339" t="str">
        <f t="shared" si="15"/>
        <v>9:135802906</v>
      </c>
      <c r="D339">
        <v>2</v>
      </c>
      <c r="E339" s="1">
        <v>8.1081081099999994E-2</v>
      </c>
      <c r="F339">
        <v>4</v>
      </c>
      <c r="G339">
        <v>2</v>
      </c>
      <c r="H339" s="4">
        <v>0</v>
      </c>
      <c r="I339">
        <v>4</v>
      </c>
      <c r="J339">
        <v>-215</v>
      </c>
      <c r="K339">
        <v>0</v>
      </c>
      <c r="L339">
        <v>0</v>
      </c>
      <c r="M339">
        <v>0</v>
      </c>
      <c r="N339">
        <v>0</v>
      </c>
      <c r="O339" t="str">
        <f t="shared" si="16"/>
        <v>G</v>
      </c>
      <c r="P339" t="str">
        <f t="shared" si="17"/>
        <v>T</v>
      </c>
      <c r="Q339">
        <f>IF(M339=0,0,VLOOKUP(M339,'aa codes'!$A$1:'aa codes'!$B$21,2))</f>
        <v>0</v>
      </c>
      <c r="R339">
        <f>IF(N339=0,0,VLOOKUP(N339,'aa codes'!$A$1:'aa codes'!$B$21,2))</f>
        <v>0</v>
      </c>
      <c r="S339" s="1">
        <v>5.1873198799999999E-2</v>
      </c>
      <c r="T339" s="1">
        <v>8.1081081099999994E-2</v>
      </c>
    </row>
    <row r="340" spans="1:20">
      <c r="A340">
        <v>9</v>
      </c>
      <c r="B340">
        <v>135802907</v>
      </c>
      <c r="C340" t="str">
        <f t="shared" si="15"/>
        <v>9:135802907</v>
      </c>
      <c r="D340">
        <v>3</v>
      </c>
      <c r="E340" s="1">
        <v>3.1645569599999999E-2</v>
      </c>
      <c r="F340">
        <v>4</v>
      </c>
      <c r="G340">
        <v>2</v>
      </c>
      <c r="H340" s="4">
        <v>0</v>
      </c>
      <c r="I340">
        <v>4</v>
      </c>
      <c r="J340">
        <v>-216</v>
      </c>
      <c r="K340">
        <v>0</v>
      </c>
      <c r="L340">
        <v>0</v>
      </c>
      <c r="M340">
        <v>0</v>
      </c>
      <c r="N340">
        <v>0</v>
      </c>
      <c r="O340" t="str">
        <f t="shared" si="16"/>
        <v>C</v>
      </c>
      <c r="P340" t="str">
        <f t="shared" si="17"/>
        <v>T</v>
      </c>
      <c r="Q340">
        <f>IF(M340=0,0,VLOOKUP(M340,'aa codes'!$A$1:'aa codes'!$B$21,2))</f>
        <v>0</v>
      </c>
      <c r="R340">
        <f>IF(N340=0,0,VLOOKUP(N340,'aa codes'!$A$1:'aa codes'!$B$21,2))</f>
        <v>0</v>
      </c>
      <c r="S340" s="1">
        <v>1.6E-2</v>
      </c>
      <c r="T340" s="1">
        <v>3.1645569599999999E-2</v>
      </c>
    </row>
    <row r="341" spans="1:20">
      <c r="A341">
        <v>9</v>
      </c>
      <c r="B341">
        <v>135802908</v>
      </c>
      <c r="C341" t="str">
        <f t="shared" si="15"/>
        <v>9:135802908</v>
      </c>
      <c r="D341">
        <v>3</v>
      </c>
      <c r="E341" s="1">
        <v>2.6565464899999999E-2</v>
      </c>
      <c r="F341">
        <v>4</v>
      </c>
      <c r="G341">
        <v>2</v>
      </c>
      <c r="H341" s="4">
        <v>0</v>
      </c>
      <c r="I341">
        <v>4</v>
      </c>
      <c r="J341">
        <v>-217</v>
      </c>
      <c r="K341">
        <v>0</v>
      </c>
      <c r="L341">
        <v>0</v>
      </c>
      <c r="M341">
        <v>0</v>
      </c>
      <c r="N341">
        <v>0</v>
      </c>
      <c r="O341" t="str">
        <f t="shared" si="16"/>
        <v>C</v>
      </c>
      <c r="P341" t="str">
        <f t="shared" si="17"/>
        <v>T</v>
      </c>
      <c r="Q341">
        <f>IF(M341=0,0,VLOOKUP(M341,'aa codes'!$A$1:'aa codes'!$B$21,2))</f>
        <v>0</v>
      </c>
      <c r="R341">
        <f>IF(N341=0,0,VLOOKUP(N341,'aa codes'!$A$1:'aa codes'!$B$21,2))</f>
        <v>0</v>
      </c>
      <c r="S341" s="1">
        <v>2.6565464899999999E-2</v>
      </c>
      <c r="T341" s="1">
        <v>2.5641025599999999E-2</v>
      </c>
    </row>
    <row r="342" spans="1:20">
      <c r="A342">
        <v>9</v>
      </c>
      <c r="B342">
        <v>135802925</v>
      </c>
      <c r="C342" t="str">
        <f t="shared" si="15"/>
        <v>9:135802925</v>
      </c>
      <c r="D342">
        <v>4</v>
      </c>
      <c r="E342" s="1">
        <v>7.75193798E-3</v>
      </c>
      <c r="F342">
        <v>1</v>
      </c>
      <c r="G342">
        <v>1</v>
      </c>
      <c r="H342" s="4">
        <v>0</v>
      </c>
      <c r="I342">
        <v>4</v>
      </c>
      <c r="J342">
        <v>-234</v>
      </c>
      <c r="K342">
        <v>0</v>
      </c>
      <c r="L342">
        <v>0</v>
      </c>
      <c r="M342">
        <v>0</v>
      </c>
      <c r="N342">
        <v>0</v>
      </c>
      <c r="O342" t="str">
        <f t="shared" si="16"/>
        <v>T</v>
      </c>
      <c r="P342" t="str">
        <f t="shared" si="17"/>
        <v>A</v>
      </c>
      <c r="Q342">
        <f>IF(M342=0,0,VLOOKUP(M342,'aa codes'!$A$1:'aa codes'!$B$21,2))</f>
        <v>0</v>
      </c>
      <c r="R342">
        <f>IF(N342=0,0,VLOOKUP(N342,'aa codes'!$A$1:'aa codes'!$B$21,2))</f>
        <v>0</v>
      </c>
      <c r="S342" s="1">
        <v>0</v>
      </c>
      <c r="T342" s="1">
        <v>7.75193798E-3</v>
      </c>
    </row>
    <row r="343" spans="1:20">
      <c r="A343">
        <v>9</v>
      </c>
      <c r="B343">
        <v>135802926</v>
      </c>
      <c r="C343" t="str">
        <f t="shared" si="15"/>
        <v>9:135802926</v>
      </c>
      <c r="D343">
        <v>4</v>
      </c>
      <c r="E343" s="1">
        <v>1.19047619E-2</v>
      </c>
      <c r="F343">
        <v>2</v>
      </c>
      <c r="G343">
        <v>2</v>
      </c>
      <c r="H343" s="4">
        <v>0</v>
      </c>
      <c r="I343">
        <v>4</v>
      </c>
      <c r="J343">
        <v>-235</v>
      </c>
      <c r="K343">
        <v>0</v>
      </c>
      <c r="L343">
        <v>0</v>
      </c>
      <c r="M343">
        <v>0</v>
      </c>
      <c r="N343">
        <v>0</v>
      </c>
      <c r="O343" t="str">
        <f t="shared" si="16"/>
        <v>T</v>
      </c>
      <c r="P343" t="str">
        <f t="shared" si="17"/>
        <v>G</v>
      </c>
      <c r="Q343">
        <f>IF(M343=0,0,VLOOKUP(M343,'aa codes'!$A$1:'aa codes'!$B$21,2))</f>
        <v>0</v>
      </c>
      <c r="R343">
        <f>IF(N343=0,0,VLOOKUP(N343,'aa codes'!$A$1:'aa codes'!$B$21,2))</f>
        <v>0</v>
      </c>
      <c r="S343" s="1">
        <v>5.3191489399999998E-3</v>
      </c>
      <c r="T343" s="1">
        <v>1.19047619E-2</v>
      </c>
    </row>
    <row r="344" spans="1:20">
      <c r="A344">
        <v>9</v>
      </c>
      <c r="B344">
        <v>135802927</v>
      </c>
      <c r="C344" t="str">
        <f t="shared" si="15"/>
        <v>9:135802927</v>
      </c>
      <c r="D344">
        <v>4</v>
      </c>
      <c r="E344" s="1">
        <v>4.5267489700000003E-2</v>
      </c>
      <c r="F344">
        <v>2</v>
      </c>
      <c r="G344">
        <v>2</v>
      </c>
      <c r="H344" s="4">
        <v>0</v>
      </c>
      <c r="I344">
        <v>4</v>
      </c>
      <c r="J344">
        <v>-236</v>
      </c>
      <c r="K344">
        <v>0</v>
      </c>
      <c r="L344">
        <v>0</v>
      </c>
      <c r="M344">
        <v>0</v>
      </c>
      <c r="N344">
        <v>0</v>
      </c>
      <c r="O344" t="str">
        <f t="shared" si="16"/>
        <v>T</v>
      </c>
      <c r="P344" t="str">
        <f t="shared" si="17"/>
        <v>G</v>
      </c>
      <c r="Q344">
        <f>IF(M344=0,0,VLOOKUP(M344,'aa codes'!$A$1:'aa codes'!$B$21,2))</f>
        <v>0</v>
      </c>
      <c r="R344">
        <f>IF(N344=0,0,VLOOKUP(N344,'aa codes'!$A$1:'aa codes'!$B$21,2))</f>
        <v>0</v>
      </c>
      <c r="S344" s="1">
        <v>1.1049723799999999E-2</v>
      </c>
      <c r="T344" s="1">
        <v>4.5267489700000003E-2</v>
      </c>
    </row>
    <row r="345" spans="1:20">
      <c r="A345">
        <v>9</v>
      </c>
      <c r="B345">
        <v>135802928</v>
      </c>
      <c r="C345" t="str">
        <f t="shared" si="15"/>
        <v>9:135802928</v>
      </c>
      <c r="D345">
        <v>4</v>
      </c>
      <c r="E345" s="1">
        <v>4.7619047599999999E-2</v>
      </c>
      <c r="F345">
        <v>2</v>
      </c>
      <c r="G345">
        <v>2</v>
      </c>
      <c r="H345" s="4">
        <v>0</v>
      </c>
      <c r="I345">
        <v>4</v>
      </c>
      <c r="J345">
        <v>-237</v>
      </c>
      <c r="K345">
        <v>0</v>
      </c>
      <c r="L345">
        <v>0</v>
      </c>
      <c r="M345">
        <v>0</v>
      </c>
      <c r="N345">
        <v>0</v>
      </c>
      <c r="O345" t="str">
        <f t="shared" si="16"/>
        <v>T</v>
      </c>
      <c r="P345" t="str">
        <f t="shared" si="17"/>
        <v>G</v>
      </c>
      <c r="Q345">
        <f>IF(M345=0,0,VLOOKUP(M345,'aa codes'!$A$1:'aa codes'!$B$21,2))</f>
        <v>0</v>
      </c>
      <c r="R345">
        <f>IF(N345=0,0,VLOOKUP(N345,'aa codes'!$A$1:'aa codes'!$B$21,2))</f>
        <v>0</v>
      </c>
      <c r="S345" s="1">
        <v>1.68539326E-2</v>
      </c>
      <c r="T345" s="1">
        <v>4.7619047599999999E-2</v>
      </c>
    </row>
    <row r="346" spans="1:20">
      <c r="A346">
        <v>9</v>
      </c>
      <c r="B346">
        <v>135802929</v>
      </c>
      <c r="C346" t="str">
        <f t="shared" si="15"/>
        <v>9:135802929</v>
      </c>
      <c r="D346">
        <v>2</v>
      </c>
      <c r="E346" s="1">
        <v>0.10270270300000001</v>
      </c>
      <c r="F346">
        <v>4</v>
      </c>
      <c r="G346">
        <v>2</v>
      </c>
      <c r="H346" s="4">
        <v>0</v>
      </c>
      <c r="I346">
        <v>4</v>
      </c>
      <c r="J346">
        <v>-238</v>
      </c>
      <c r="K346">
        <v>0</v>
      </c>
      <c r="L346">
        <v>0</v>
      </c>
      <c r="M346">
        <v>0</v>
      </c>
      <c r="N346">
        <v>0</v>
      </c>
      <c r="O346" t="str">
        <f t="shared" si="16"/>
        <v>G</v>
      </c>
      <c r="P346" t="str">
        <f t="shared" si="17"/>
        <v>T</v>
      </c>
      <c r="Q346">
        <f>IF(M346=0,0,VLOOKUP(M346,'aa codes'!$A$1:'aa codes'!$B$21,2))</f>
        <v>0</v>
      </c>
      <c r="R346">
        <f>IF(N346=0,0,VLOOKUP(N346,'aa codes'!$A$1:'aa codes'!$B$21,2))</f>
        <v>0</v>
      </c>
      <c r="S346" s="1">
        <v>5.8620689699999999E-2</v>
      </c>
      <c r="T346" s="1">
        <v>0.10270270300000001</v>
      </c>
    </row>
    <row r="347" spans="1:20">
      <c r="A347">
        <v>9</v>
      </c>
      <c r="B347">
        <v>135802930</v>
      </c>
      <c r="C347" t="str">
        <f t="shared" si="15"/>
        <v>9:135802930</v>
      </c>
      <c r="D347">
        <v>1</v>
      </c>
      <c r="E347" s="1">
        <v>5.0561797800000002E-2</v>
      </c>
      <c r="F347">
        <v>4</v>
      </c>
      <c r="G347">
        <v>2</v>
      </c>
      <c r="H347" s="4">
        <v>0</v>
      </c>
      <c r="I347">
        <v>4</v>
      </c>
      <c r="J347">
        <v>-239</v>
      </c>
      <c r="K347">
        <v>0</v>
      </c>
      <c r="L347">
        <v>0</v>
      </c>
      <c r="M347">
        <v>0</v>
      </c>
      <c r="N347">
        <v>0</v>
      </c>
      <c r="O347" t="str">
        <f t="shared" si="16"/>
        <v>A</v>
      </c>
      <c r="P347" t="str">
        <f t="shared" si="17"/>
        <v>T</v>
      </c>
      <c r="Q347">
        <f>IF(M347=0,0,VLOOKUP(M347,'aa codes'!$A$1:'aa codes'!$B$21,2))</f>
        <v>0</v>
      </c>
      <c r="R347">
        <f>IF(N347=0,0,VLOOKUP(N347,'aa codes'!$A$1:'aa codes'!$B$21,2))</f>
        <v>0</v>
      </c>
      <c r="S347" s="1">
        <v>2.6217228499999998E-2</v>
      </c>
      <c r="T347" s="1">
        <v>5.0561797800000002E-2</v>
      </c>
    </row>
    <row r="348" spans="1:20">
      <c r="A348">
        <v>9</v>
      </c>
      <c r="B348">
        <v>135802947</v>
      </c>
      <c r="C348" t="str">
        <f t="shared" si="15"/>
        <v>9:135802947</v>
      </c>
      <c r="D348">
        <v>2</v>
      </c>
      <c r="E348" s="1">
        <v>5.07614213E-3</v>
      </c>
      <c r="F348">
        <v>4</v>
      </c>
      <c r="G348">
        <v>1</v>
      </c>
      <c r="H348" s="4">
        <v>0</v>
      </c>
      <c r="I348">
        <v>4</v>
      </c>
      <c r="J348">
        <v>-256</v>
      </c>
      <c r="K348">
        <v>0</v>
      </c>
      <c r="L348">
        <v>0</v>
      </c>
      <c r="M348">
        <v>0</v>
      </c>
      <c r="N348">
        <v>0</v>
      </c>
      <c r="O348" t="str">
        <f t="shared" si="16"/>
        <v>G</v>
      </c>
      <c r="P348" t="str">
        <f t="shared" si="17"/>
        <v>T</v>
      </c>
      <c r="Q348">
        <f>IF(M348=0,0,VLOOKUP(M348,'aa codes'!$A$1:'aa codes'!$B$21,2))</f>
        <v>0</v>
      </c>
      <c r="R348">
        <f>IF(N348=0,0,VLOOKUP(N348,'aa codes'!$A$1:'aa codes'!$B$21,2))</f>
        <v>0</v>
      </c>
      <c r="S348" s="1">
        <v>5.07614213E-3</v>
      </c>
      <c r="T348" s="1">
        <v>0</v>
      </c>
    </row>
    <row r="349" spans="1:20">
      <c r="A349">
        <v>9</v>
      </c>
      <c r="B349">
        <v>135802949</v>
      </c>
      <c r="C349" t="str">
        <f t="shared" si="15"/>
        <v>9:135802949</v>
      </c>
      <c r="D349">
        <v>4</v>
      </c>
      <c r="E349" s="1">
        <v>7.9365079400000003E-3</v>
      </c>
      <c r="F349">
        <v>3</v>
      </c>
      <c r="G349">
        <v>1</v>
      </c>
      <c r="H349" s="4">
        <v>0</v>
      </c>
      <c r="I349">
        <v>4</v>
      </c>
      <c r="J349">
        <v>-258</v>
      </c>
      <c r="K349">
        <v>0</v>
      </c>
      <c r="L349">
        <v>0</v>
      </c>
      <c r="M349">
        <v>0</v>
      </c>
      <c r="N349">
        <v>0</v>
      </c>
      <c r="O349" t="str">
        <f t="shared" si="16"/>
        <v>T</v>
      </c>
      <c r="P349" t="str">
        <f t="shared" si="17"/>
        <v>C</v>
      </c>
      <c r="Q349">
        <f>IF(M349=0,0,VLOOKUP(M349,'aa codes'!$A$1:'aa codes'!$B$21,2))</f>
        <v>0</v>
      </c>
      <c r="R349">
        <f>IF(N349=0,0,VLOOKUP(N349,'aa codes'!$A$1:'aa codes'!$B$21,2))</f>
        <v>0</v>
      </c>
      <c r="S349" s="1">
        <v>0</v>
      </c>
      <c r="T349" s="1">
        <v>7.9365079400000003E-3</v>
      </c>
    </row>
    <row r="350" spans="1:20">
      <c r="A350">
        <v>9</v>
      </c>
      <c r="B350">
        <v>135802955</v>
      </c>
      <c r="C350" t="str">
        <f t="shared" si="15"/>
        <v>9:135802955</v>
      </c>
      <c r="D350">
        <v>2</v>
      </c>
      <c r="E350" s="1">
        <v>5.4644808699999999E-3</v>
      </c>
      <c r="F350">
        <v>1</v>
      </c>
      <c r="G350">
        <v>1</v>
      </c>
      <c r="H350" s="4">
        <v>0</v>
      </c>
      <c r="I350">
        <v>4</v>
      </c>
      <c r="J350">
        <v>-264</v>
      </c>
      <c r="K350">
        <v>0</v>
      </c>
      <c r="L350">
        <v>0</v>
      </c>
      <c r="M350">
        <v>0</v>
      </c>
      <c r="N350">
        <v>0</v>
      </c>
      <c r="O350" t="str">
        <f t="shared" si="16"/>
        <v>G</v>
      </c>
      <c r="P350" t="str">
        <f t="shared" si="17"/>
        <v>A</v>
      </c>
      <c r="Q350">
        <f>IF(M350=0,0,VLOOKUP(M350,'aa codes'!$A$1:'aa codes'!$B$21,2))</f>
        <v>0</v>
      </c>
      <c r="R350">
        <f>IF(N350=0,0,VLOOKUP(N350,'aa codes'!$A$1:'aa codes'!$B$21,2))</f>
        <v>0</v>
      </c>
      <c r="S350" s="1">
        <v>5.4644808699999999E-3</v>
      </c>
      <c r="T350" s="1">
        <v>0</v>
      </c>
    </row>
    <row r="351" spans="1:20">
      <c r="A351">
        <v>9</v>
      </c>
      <c r="B351">
        <v>135802959</v>
      </c>
      <c r="C351" t="str">
        <f t="shared" si="15"/>
        <v>9:135802959</v>
      </c>
      <c r="D351">
        <v>2</v>
      </c>
      <c r="E351" s="1">
        <v>5.49450549E-3</v>
      </c>
      <c r="F351">
        <v>4</v>
      </c>
      <c r="G351">
        <v>1</v>
      </c>
      <c r="H351" s="4">
        <v>0</v>
      </c>
      <c r="I351">
        <v>4</v>
      </c>
      <c r="J351">
        <v>-268</v>
      </c>
      <c r="K351">
        <v>0</v>
      </c>
      <c r="L351">
        <v>0</v>
      </c>
      <c r="M351">
        <v>0</v>
      </c>
      <c r="N351">
        <v>0</v>
      </c>
      <c r="O351" t="str">
        <f t="shared" si="16"/>
        <v>G</v>
      </c>
      <c r="P351" t="str">
        <f t="shared" si="17"/>
        <v>T</v>
      </c>
      <c r="Q351">
        <f>IF(M351=0,0,VLOOKUP(M351,'aa codes'!$A$1:'aa codes'!$B$21,2))</f>
        <v>0</v>
      </c>
      <c r="R351">
        <f>IF(N351=0,0,VLOOKUP(N351,'aa codes'!$A$1:'aa codes'!$B$21,2))</f>
        <v>0</v>
      </c>
      <c r="S351" s="1">
        <v>5.49450549E-3</v>
      </c>
      <c r="T351" s="1">
        <v>0</v>
      </c>
    </row>
    <row r="352" spans="1:20">
      <c r="A352">
        <v>9</v>
      </c>
      <c r="B352">
        <v>135802960</v>
      </c>
      <c r="C352" t="str">
        <f t="shared" si="15"/>
        <v>9:135802960</v>
      </c>
      <c r="D352">
        <v>1</v>
      </c>
      <c r="E352" s="1">
        <v>0.01</v>
      </c>
      <c r="F352">
        <v>2</v>
      </c>
      <c r="G352">
        <v>1</v>
      </c>
      <c r="H352" s="4">
        <v>0</v>
      </c>
      <c r="I352">
        <v>4</v>
      </c>
      <c r="J352">
        <v>-269</v>
      </c>
      <c r="K352">
        <v>0</v>
      </c>
      <c r="L352">
        <v>0</v>
      </c>
      <c r="M352">
        <v>0</v>
      </c>
      <c r="N352">
        <v>0</v>
      </c>
      <c r="O352" t="str">
        <f t="shared" si="16"/>
        <v>A</v>
      </c>
      <c r="P352" t="str">
        <f t="shared" si="17"/>
        <v>G</v>
      </c>
      <c r="Q352">
        <f>IF(M352=0,0,VLOOKUP(M352,'aa codes'!$A$1:'aa codes'!$B$21,2))</f>
        <v>0</v>
      </c>
      <c r="R352">
        <f>IF(N352=0,0,VLOOKUP(N352,'aa codes'!$A$1:'aa codes'!$B$21,2))</f>
        <v>0</v>
      </c>
      <c r="S352" s="1">
        <v>0</v>
      </c>
      <c r="T352" s="1">
        <v>0.01</v>
      </c>
    </row>
    <row r="353" spans="1:20">
      <c r="A353">
        <v>9</v>
      </c>
      <c r="B353">
        <v>135802965</v>
      </c>
      <c r="C353" t="str">
        <f t="shared" si="15"/>
        <v>9:135802965</v>
      </c>
      <c r="D353">
        <v>1</v>
      </c>
      <c r="E353" s="1">
        <v>5.49450549E-3</v>
      </c>
      <c r="F353">
        <v>4</v>
      </c>
      <c r="G353">
        <v>1</v>
      </c>
      <c r="H353" s="4">
        <v>0</v>
      </c>
      <c r="I353">
        <v>4</v>
      </c>
      <c r="J353">
        <v>-274</v>
      </c>
      <c r="K353">
        <v>0</v>
      </c>
      <c r="L353">
        <v>0</v>
      </c>
      <c r="M353">
        <v>0</v>
      </c>
      <c r="N353">
        <v>0</v>
      </c>
      <c r="O353" t="str">
        <f t="shared" si="16"/>
        <v>A</v>
      </c>
      <c r="P353" t="str">
        <f t="shared" si="17"/>
        <v>T</v>
      </c>
      <c r="Q353">
        <f>IF(M353=0,0,VLOOKUP(M353,'aa codes'!$A$1:'aa codes'!$B$21,2))</f>
        <v>0</v>
      </c>
      <c r="R353">
        <f>IF(N353=0,0,VLOOKUP(N353,'aa codes'!$A$1:'aa codes'!$B$21,2))</f>
        <v>0</v>
      </c>
      <c r="S353" s="1">
        <v>5.49450549E-3</v>
      </c>
      <c r="T353" s="1">
        <v>0</v>
      </c>
    </row>
    <row r="354" spans="1:20">
      <c r="A354">
        <v>9</v>
      </c>
      <c r="B354">
        <v>135802969</v>
      </c>
      <c r="C354" t="str">
        <f t="shared" si="15"/>
        <v>9:135802969</v>
      </c>
      <c r="D354">
        <v>2</v>
      </c>
      <c r="E354" s="1">
        <v>1.19047619E-2</v>
      </c>
      <c r="F354">
        <v>1</v>
      </c>
      <c r="G354">
        <v>1</v>
      </c>
      <c r="H354" s="4">
        <v>0</v>
      </c>
      <c r="I354">
        <v>4</v>
      </c>
      <c r="J354">
        <v>-278</v>
      </c>
      <c r="K354">
        <v>0</v>
      </c>
      <c r="L354">
        <v>0</v>
      </c>
      <c r="M354">
        <v>0</v>
      </c>
      <c r="N354">
        <v>0</v>
      </c>
      <c r="O354" t="str">
        <f t="shared" si="16"/>
        <v>G</v>
      </c>
      <c r="P354" t="str">
        <f t="shared" si="17"/>
        <v>A</v>
      </c>
      <c r="Q354">
        <f>IF(M354=0,0,VLOOKUP(M354,'aa codes'!$A$1:'aa codes'!$B$21,2))</f>
        <v>0</v>
      </c>
      <c r="R354">
        <f>IF(N354=0,0,VLOOKUP(N354,'aa codes'!$A$1:'aa codes'!$B$21,2))</f>
        <v>0</v>
      </c>
      <c r="S354" s="1">
        <v>0</v>
      </c>
      <c r="T354" s="1">
        <v>1.19047619E-2</v>
      </c>
    </row>
    <row r="355" spans="1:20">
      <c r="A355">
        <v>9</v>
      </c>
      <c r="B355">
        <v>135802971</v>
      </c>
      <c r="C355" t="str">
        <f t="shared" si="15"/>
        <v>9:135802971</v>
      </c>
      <c r="D355">
        <v>1</v>
      </c>
      <c r="E355" s="1">
        <v>5.2083333300000003E-3</v>
      </c>
      <c r="F355">
        <v>2</v>
      </c>
      <c r="G355">
        <v>1</v>
      </c>
      <c r="H355" s="4">
        <v>0</v>
      </c>
      <c r="I355">
        <v>4</v>
      </c>
      <c r="J355">
        <v>-280</v>
      </c>
      <c r="K355">
        <v>0</v>
      </c>
      <c r="L355">
        <v>0</v>
      </c>
      <c r="M355">
        <v>0</v>
      </c>
      <c r="N355">
        <v>0</v>
      </c>
      <c r="O355" t="str">
        <f t="shared" si="16"/>
        <v>A</v>
      </c>
      <c r="P355" t="str">
        <f t="shared" si="17"/>
        <v>G</v>
      </c>
      <c r="Q355">
        <f>IF(M355=0,0,VLOOKUP(M355,'aa codes'!$A$1:'aa codes'!$B$21,2))</f>
        <v>0</v>
      </c>
      <c r="R355">
        <f>IF(N355=0,0,VLOOKUP(N355,'aa codes'!$A$1:'aa codes'!$B$21,2))</f>
        <v>0</v>
      </c>
      <c r="S355" s="1">
        <v>5.2083333300000003E-3</v>
      </c>
      <c r="T355" s="1">
        <v>0</v>
      </c>
    </row>
    <row r="356" spans="1:20">
      <c r="A356">
        <v>9</v>
      </c>
      <c r="B356">
        <v>135802972</v>
      </c>
      <c r="C356" t="str">
        <f t="shared" si="15"/>
        <v>9:135802972</v>
      </c>
      <c r="D356">
        <v>3</v>
      </c>
      <c r="E356" s="1">
        <v>5.7142857100000001E-3</v>
      </c>
      <c r="F356">
        <v>4</v>
      </c>
      <c r="G356">
        <v>1</v>
      </c>
      <c r="H356" s="4">
        <v>0</v>
      </c>
      <c r="I356">
        <v>4</v>
      </c>
      <c r="J356">
        <v>-281</v>
      </c>
      <c r="K356">
        <v>0</v>
      </c>
      <c r="L356">
        <v>0</v>
      </c>
      <c r="M356">
        <v>0</v>
      </c>
      <c r="N356">
        <v>0</v>
      </c>
      <c r="O356" t="str">
        <f t="shared" si="16"/>
        <v>C</v>
      </c>
      <c r="P356" t="str">
        <f t="shared" si="17"/>
        <v>T</v>
      </c>
      <c r="Q356">
        <f>IF(M356=0,0,VLOOKUP(M356,'aa codes'!$A$1:'aa codes'!$B$21,2))</f>
        <v>0</v>
      </c>
      <c r="R356">
        <f>IF(N356=0,0,VLOOKUP(N356,'aa codes'!$A$1:'aa codes'!$B$21,2))</f>
        <v>0</v>
      </c>
      <c r="S356" s="1">
        <v>5.7142857100000001E-3</v>
      </c>
      <c r="T356" s="1">
        <v>0</v>
      </c>
    </row>
    <row r="357" spans="1:20">
      <c r="A357">
        <v>9</v>
      </c>
      <c r="B357">
        <v>135802973</v>
      </c>
      <c r="C357" t="str">
        <f t="shared" si="15"/>
        <v>9:135802973</v>
      </c>
      <c r="D357">
        <v>1</v>
      </c>
      <c r="E357" s="1">
        <v>5.26315789E-3</v>
      </c>
      <c r="F357">
        <v>2</v>
      </c>
      <c r="G357">
        <v>1</v>
      </c>
      <c r="H357" s="4">
        <v>0</v>
      </c>
      <c r="I357">
        <v>4</v>
      </c>
      <c r="J357">
        <v>-282</v>
      </c>
      <c r="K357">
        <v>0</v>
      </c>
      <c r="L357">
        <v>0</v>
      </c>
      <c r="M357">
        <v>0</v>
      </c>
      <c r="N357">
        <v>0</v>
      </c>
      <c r="O357" t="str">
        <f t="shared" si="16"/>
        <v>A</v>
      </c>
      <c r="P357" t="str">
        <f t="shared" si="17"/>
        <v>G</v>
      </c>
      <c r="Q357">
        <f>IF(M357=0,0,VLOOKUP(M357,'aa codes'!$A$1:'aa codes'!$B$21,2))</f>
        <v>0</v>
      </c>
      <c r="R357">
        <f>IF(N357=0,0,VLOOKUP(N357,'aa codes'!$A$1:'aa codes'!$B$21,2))</f>
        <v>0</v>
      </c>
      <c r="S357" s="1">
        <v>5.26315789E-3</v>
      </c>
      <c r="T357" s="1">
        <v>0</v>
      </c>
    </row>
    <row r="358" spans="1:20">
      <c r="A358">
        <v>9</v>
      </c>
      <c r="B358">
        <v>135802978</v>
      </c>
      <c r="C358" t="str">
        <f t="shared" si="15"/>
        <v>9:135802978</v>
      </c>
      <c r="D358">
        <v>3</v>
      </c>
      <c r="E358" s="1">
        <v>1.08695652E-2</v>
      </c>
      <c r="F358">
        <v>4</v>
      </c>
      <c r="G358">
        <v>2</v>
      </c>
      <c r="H358" s="4">
        <v>0</v>
      </c>
      <c r="I358">
        <v>4</v>
      </c>
      <c r="J358">
        <v>-287</v>
      </c>
      <c r="K358">
        <v>0</v>
      </c>
      <c r="L358">
        <v>0</v>
      </c>
      <c r="M358">
        <v>0</v>
      </c>
      <c r="N358">
        <v>0</v>
      </c>
      <c r="O358" t="str">
        <f t="shared" si="16"/>
        <v>C</v>
      </c>
      <c r="P358" t="str">
        <f t="shared" si="17"/>
        <v>T</v>
      </c>
      <c r="Q358">
        <f>IF(M358=0,0,VLOOKUP(M358,'aa codes'!$A$1:'aa codes'!$B$21,2))</f>
        <v>0</v>
      </c>
      <c r="R358">
        <f>IF(N358=0,0,VLOOKUP(N358,'aa codes'!$A$1:'aa codes'!$B$21,2))</f>
        <v>0</v>
      </c>
      <c r="S358" s="1">
        <v>5.64971751E-3</v>
      </c>
      <c r="T358" s="1">
        <v>1.08695652E-2</v>
      </c>
    </row>
    <row r="359" spans="1:20">
      <c r="A359">
        <v>9</v>
      </c>
      <c r="B359">
        <v>135802979</v>
      </c>
      <c r="C359" t="str">
        <f t="shared" si="15"/>
        <v>9:135802979</v>
      </c>
      <c r="D359">
        <v>1</v>
      </c>
      <c r="E359" s="1">
        <v>1.0752688200000001E-2</v>
      </c>
      <c r="F359">
        <v>2</v>
      </c>
      <c r="G359">
        <v>2</v>
      </c>
      <c r="H359" s="4">
        <v>0</v>
      </c>
      <c r="I359">
        <v>4</v>
      </c>
      <c r="J359">
        <v>-288</v>
      </c>
      <c r="K359">
        <v>0</v>
      </c>
      <c r="L359">
        <v>0</v>
      </c>
      <c r="M359">
        <v>0</v>
      </c>
      <c r="N359">
        <v>0</v>
      </c>
      <c r="O359" t="str">
        <f t="shared" si="16"/>
        <v>A</v>
      </c>
      <c r="P359" t="str">
        <f t="shared" si="17"/>
        <v>G</v>
      </c>
      <c r="Q359">
        <f>IF(M359=0,0,VLOOKUP(M359,'aa codes'!$A$1:'aa codes'!$B$21,2))</f>
        <v>0</v>
      </c>
      <c r="R359">
        <f>IF(N359=0,0,VLOOKUP(N359,'aa codes'!$A$1:'aa codes'!$B$21,2))</f>
        <v>0</v>
      </c>
      <c r="S359" s="1">
        <v>5.4054054100000004E-3</v>
      </c>
      <c r="T359" s="1">
        <v>1.0752688200000001E-2</v>
      </c>
    </row>
    <row r="360" spans="1:20">
      <c r="A360">
        <v>9</v>
      </c>
      <c r="B360">
        <v>135802980</v>
      </c>
      <c r="C360" t="str">
        <f t="shared" si="15"/>
        <v>9:135802980</v>
      </c>
      <c r="D360">
        <v>2</v>
      </c>
      <c r="E360" s="1">
        <v>5.6179775300000002E-3</v>
      </c>
      <c r="F360">
        <v>1</v>
      </c>
      <c r="G360">
        <v>1</v>
      </c>
      <c r="H360" s="4">
        <v>0</v>
      </c>
      <c r="I360">
        <v>4</v>
      </c>
      <c r="J360">
        <v>-289</v>
      </c>
      <c r="K360">
        <v>0</v>
      </c>
      <c r="L360">
        <v>0</v>
      </c>
      <c r="M360">
        <v>0</v>
      </c>
      <c r="N360">
        <v>0</v>
      </c>
      <c r="O360" t="str">
        <f t="shared" si="16"/>
        <v>G</v>
      </c>
      <c r="P360" t="str">
        <f t="shared" si="17"/>
        <v>A</v>
      </c>
      <c r="Q360">
        <f>IF(M360=0,0,VLOOKUP(M360,'aa codes'!$A$1:'aa codes'!$B$21,2))</f>
        <v>0</v>
      </c>
      <c r="R360">
        <f>IF(N360=0,0,VLOOKUP(N360,'aa codes'!$A$1:'aa codes'!$B$21,2))</f>
        <v>0</v>
      </c>
      <c r="S360" s="1">
        <v>5.6179775300000002E-3</v>
      </c>
      <c r="T360" s="1">
        <v>0</v>
      </c>
    </row>
    <row r="361" spans="1:20">
      <c r="A361">
        <v>9</v>
      </c>
      <c r="B361">
        <v>135802987</v>
      </c>
      <c r="C361" t="str">
        <f t="shared" si="15"/>
        <v>9:135802987</v>
      </c>
      <c r="D361">
        <v>2</v>
      </c>
      <c r="E361" s="1">
        <v>1.19047619E-2</v>
      </c>
      <c r="F361">
        <v>1</v>
      </c>
      <c r="G361">
        <v>1</v>
      </c>
      <c r="H361" s="4">
        <v>0</v>
      </c>
      <c r="I361">
        <v>4</v>
      </c>
      <c r="J361">
        <v>-296</v>
      </c>
      <c r="K361">
        <v>0</v>
      </c>
      <c r="L361">
        <v>0</v>
      </c>
      <c r="M361">
        <v>0</v>
      </c>
      <c r="N361">
        <v>0</v>
      </c>
      <c r="O361" t="str">
        <f t="shared" si="16"/>
        <v>G</v>
      </c>
      <c r="P361" t="str">
        <f t="shared" si="17"/>
        <v>A</v>
      </c>
      <c r="Q361">
        <f>IF(M361=0,0,VLOOKUP(M361,'aa codes'!$A$1:'aa codes'!$B$21,2))</f>
        <v>0</v>
      </c>
      <c r="R361">
        <f>IF(N361=0,0,VLOOKUP(N361,'aa codes'!$A$1:'aa codes'!$B$21,2))</f>
        <v>0</v>
      </c>
      <c r="S361" s="1">
        <v>0</v>
      </c>
      <c r="T361" s="1">
        <v>1.19047619E-2</v>
      </c>
    </row>
    <row r="362" spans="1:20">
      <c r="A362">
        <v>9</v>
      </c>
      <c r="B362">
        <v>135802991</v>
      </c>
      <c r="C362" t="str">
        <f t="shared" si="15"/>
        <v>9:135802991</v>
      </c>
      <c r="D362">
        <v>3</v>
      </c>
      <c r="E362" s="1">
        <v>1.5873015899999999E-2</v>
      </c>
      <c r="F362">
        <v>2</v>
      </c>
      <c r="G362">
        <v>2</v>
      </c>
      <c r="H362" s="4">
        <v>0</v>
      </c>
      <c r="I362">
        <v>4</v>
      </c>
      <c r="J362">
        <v>-300</v>
      </c>
      <c r="K362">
        <v>0</v>
      </c>
      <c r="L362">
        <v>0</v>
      </c>
      <c r="M362">
        <v>0</v>
      </c>
      <c r="N362">
        <v>0</v>
      </c>
      <c r="O362" t="str">
        <f t="shared" si="16"/>
        <v>C</v>
      </c>
      <c r="P362" t="str">
        <f t="shared" si="17"/>
        <v>G</v>
      </c>
      <c r="Q362">
        <f>IF(M362=0,0,VLOOKUP(M362,'aa codes'!$A$1:'aa codes'!$B$21,2))</f>
        <v>0</v>
      </c>
      <c r="R362">
        <f>IF(N362=0,0,VLOOKUP(N362,'aa codes'!$A$1:'aa codes'!$B$21,2))</f>
        <v>0</v>
      </c>
      <c r="S362" s="1">
        <v>6.9444444400000001E-3</v>
      </c>
      <c r="T362" s="1">
        <v>1.5873015899999999E-2</v>
      </c>
    </row>
    <row r="363" spans="1:20">
      <c r="A363">
        <v>9</v>
      </c>
      <c r="B363">
        <v>135803000</v>
      </c>
      <c r="C363" t="str">
        <f t="shared" si="15"/>
        <v>9:135803000</v>
      </c>
      <c r="D363">
        <v>3</v>
      </c>
      <c r="E363" s="1">
        <v>1.19047619E-2</v>
      </c>
      <c r="F363">
        <v>1</v>
      </c>
      <c r="G363">
        <v>1</v>
      </c>
      <c r="H363" s="4">
        <v>0</v>
      </c>
      <c r="I363">
        <v>4</v>
      </c>
      <c r="J363">
        <v>-309</v>
      </c>
      <c r="K363">
        <v>0</v>
      </c>
      <c r="L363">
        <v>0</v>
      </c>
      <c r="M363">
        <v>0</v>
      </c>
      <c r="N363">
        <v>0</v>
      </c>
      <c r="O363" t="str">
        <f t="shared" si="16"/>
        <v>C</v>
      </c>
      <c r="P363" t="str">
        <f t="shared" si="17"/>
        <v>A</v>
      </c>
      <c r="Q363">
        <f>IF(M363=0,0,VLOOKUP(M363,'aa codes'!$A$1:'aa codes'!$B$21,2))</f>
        <v>0</v>
      </c>
      <c r="R363">
        <f>IF(N363=0,0,VLOOKUP(N363,'aa codes'!$A$1:'aa codes'!$B$21,2))</f>
        <v>0</v>
      </c>
      <c r="S363" s="1">
        <v>0</v>
      </c>
      <c r="T363" s="1">
        <v>1.19047619E-2</v>
      </c>
    </row>
    <row r="364" spans="1:20">
      <c r="A364">
        <v>9</v>
      </c>
      <c r="B364">
        <v>135803004</v>
      </c>
      <c r="C364" t="str">
        <f t="shared" si="15"/>
        <v>9:135803004</v>
      </c>
      <c r="D364">
        <v>2</v>
      </c>
      <c r="E364" s="1">
        <v>6.5789473700000002E-3</v>
      </c>
      <c r="F364">
        <v>4</v>
      </c>
      <c r="G364">
        <v>1</v>
      </c>
      <c r="H364" s="4">
        <v>0</v>
      </c>
      <c r="I364">
        <v>4</v>
      </c>
      <c r="J364">
        <v>-313</v>
      </c>
      <c r="K364">
        <v>0</v>
      </c>
      <c r="L364">
        <v>0</v>
      </c>
      <c r="M364">
        <v>0</v>
      </c>
      <c r="N364">
        <v>0</v>
      </c>
      <c r="O364" t="str">
        <f t="shared" si="16"/>
        <v>G</v>
      </c>
      <c r="P364" t="str">
        <f t="shared" si="17"/>
        <v>T</v>
      </c>
      <c r="Q364">
        <f>IF(M364=0,0,VLOOKUP(M364,'aa codes'!$A$1:'aa codes'!$B$21,2))</f>
        <v>0</v>
      </c>
      <c r="R364">
        <f>IF(N364=0,0,VLOOKUP(N364,'aa codes'!$A$1:'aa codes'!$B$21,2))</f>
        <v>0</v>
      </c>
      <c r="S364" s="1">
        <v>6.5789473700000002E-3</v>
      </c>
      <c r="T364" s="1">
        <v>0</v>
      </c>
    </row>
    <row r="365" spans="1:20">
      <c r="A365">
        <v>9</v>
      </c>
      <c r="B365">
        <v>135803011</v>
      </c>
      <c r="C365" t="str">
        <f t="shared" si="15"/>
        <v>9:135803011</v>
      </c>
      <c r="D365">
        <v>2</v>
      </c>
      <c r="E365" s="1">
        <v>6.0240963899999998E-3</v>
      </c>
      <c r="F365">
        <v>3</v>
      </c>
      <c r="G365">
        <v>1</v>
      </c>
      <c r="H365" s="4">
        <v>0</v>
      </c>
      <c r="I365">
        <v>4</v>
      </c>
      <c r="J365">
        <v>-320</v>
      </c>
      <c r="K365">
        <v>0</v>
      </c>
      <c r="L365">
        <v>0</v>
      </c>
      <c r="M365">
        <v>0</v>
      </c>
      <c r="N365">
        <v>0</v>
      </c>
      <c r="O365" t="str">
        <f t="shared" si="16"/>
        <v>G</v>
      </c>
      <c r="P365" t="str">
        <f t="shared" si="17"/>
        <v>C</v>
      </c>
      <c r="Q365">
        <f>IF(M365=0,0,VLOOKUP(M365,'aa codes'!$A$1:'aa codes'!$B$21,2))</f>
        <v>0</v>
      </c>
      <c r="R365">
        <f>IF(N365=0,0,VLOOKUP(N365,'aa codes'!$A$1:'aa codes'!$B$21,2))</f>
        <v>0</v>
      </c>
      <c r="S365" s="1">
        <v>6.0240963899999998E-3</v>
      </c>
      <c r="T365" s="1">
        <v>0</v>
      </c>
    </row>
    <row r="366" spans="1:20">
      <c r="A366">
        <v>9</v>
      </c>
      <c r="B366">
        <v>135803013</v>
      </c>
      <c r="C366" t="str">
        <f t="shared" si="15"/>
        <v>9:135803013</v>
      </c>
      <c r="D366">
        <v>1</v>
      </c>
      <c r="E366" s="1">
        <v>1.04166667E-2</v>
      </c>
      <c r="F366">
        <v>4</v>
      </c>
      <c r="G366">
        <v>1</v>
      </c>
      <c r="H366" s="4">
        <v>0</v>
      </c>
      <c r="I366">
        <v>4</v>
      </c>
      <c r="J366">
        <v>-322</v>
      </c>
      <c r="K366">
        <v>0</v>
      </c>
      <c r="L366">
        <v>0</v>
      </c>
      <c r="M366">
        <v>0</v>
      </c>
      <c r="N366">
        <v>0</v>
      </c>
      <c r="O366" t="str">
        <f t="shared" si="16"/>
        <v>A</v>
      </c>
      <c r="P366" t="str">
        <f t="shared" si="17"/>
        <v>T</v>
      </c>
      <c r="Q366">
        <f>IF(M366=0,0,VLOOKUP(M366,'aa codes'!$A$1:'aa codes'!$B$21,2))</f>
        <v>0</v>
      </c>
      <c r="R366">
        <f>IF(N366=0,0,VLOOKUP(N366,'aa codes'!$A$1:'aa codes'!$B$21,2))</f>
        <v>0</v>
      </c>
      <c r="S366" s="1">
        <v>0</v>
      </c>
      <c r="T366" s="1">
        <v>1.04166667E-2</v>
      </c>
    </row>
    <row r="367" spans="1:20">
      <c r="A367">
        <v>9</v>
      </c>
      <c r="B367">
        <v>135803016</v>
      </c>
      <c r="C367" t="str">
        <f t="shared" si="15"/>
        <v>9:135803016</v>
      </c>
      <c r="D367">
        <v>4</v>
      </c>
      <c r="E367" s="1">
        <v>9.9009900999999997E-3</v>
      </c>
      <c r="F367">
        <v>2</v>
      </c>
      <c r="G367">
        <v>1</v>
      </c>
      <c r="H367" s="4">
        <v>0</v>
      </c>
      <c r="I367">
        <v>4</v>
      </c>
      <c r="J367">
        <v>-325</v>
      </c>
      <c r="K367">
        <v>0</v>
      </c>
      <c r="L367">
        <v>0</v>
      </c>
      <c r="M367">
        <v>0</v>
      </c>
      <c r="N367">
        <v>0</v>
      </c>
      <c r="O367" t="str">
        <f t="shared" si="16"/>
        <v>T</v>
      </c>
      <c r="P367" t="str">
        <f t="shared" si="17"/>
        <v>G</v>
      </c>
      <c r="Q367">
        <f>IF(M367=0,0,VLOOKUP(M367,'aa codes'!$A$1:'aa codes'!$B$21,2))</f>
        <v>0</v>
      </c>
      <c r="R367">
        <f>IF(N367=0,0,VLOOKUP(N367,'aa codes'!$A$1:'aa codes'!$B$21,2))</f>
        <v>0</v>
      </c>
      <c r="S367" s="1">
        <v>0</v>
      </c>
      <c r="T367" s="1">
        <v>9.9009900999999997E-3</v>
      </c>
    </row>
    <row r="368" spans="1:20">
      <c r="A368">
        <v>9</v>
      </c>
      <c r="B368">
        <v>135803019</v>
      </c>
      <c r="C368" t="str">
        <f t="shared" si="15"/>
        <v>9:135803019</v>
      </c>
      <c r="D368">
        <v>3</v>
      </c>
      <c r="E368" s="1">
        <v>6.8493150699999996E-3</v>
      </c>
      <c r="F368">
        <v>4</v>
      </c>
      <c r="G368">
        <v>1</v>
      </c>
      <c r="H368" s="4">
        <v>0</v>
      </c>
      <c r="I368">
        <v>4</v>
      </c>
      <c r="J368">
        <v>-328</v>
      </c>
      <c r="K368">
        <v>0</v>
      </c>
      <c r="L368">
        <v>0</v>
      </c>
      <c r="M368">
        <v>0</v>
      </c>
      <c r="N368">
        <v>0</v>
      </c>
      <c r="O368" t="str">
        <f t="shared" si="16"/>
        <v>C</v>
      </c>
      <c r="P368" t="str">
        <f t="shared" si="17"/>
        <v>T</v>
      </c>
      <c r="Q368">
        <f>IF(M368=0,0,VLOOKUP(M368,'aa codes'!$A$1:'aa codes'!$B$21,2))</f>
        <v>0</v>
      </c>
      <c r="R368">
        <f>IF(N368=0,0,VLOOKUP(N368,'aa codes'!$A$1:'aa codes'!$B$21,2))</f>
        <v>0</v>
      </c>
      <c r="S368" s="1">
        <v>6.8493150699999996E-3</v>
      </c>
      <c r="T368" s="1">
        <v>0</v>
      </c>
    </row>
    <row r="369" spans="1:20">
      <c r="A369">
        <v>9</v>
      </c>
      <c r="B369">
        <v>135803020</v>
      </c>
      <c r="C369" t="str">
        <f t="shared" si="15"/>
        <v>9:135803020</v>
      </c>
      <c r="D369">
        <v>2</v>
      </c>
      <c r="E369" s="1">
        <v>1.2345679E-2</v>
      </c>
      <c r="F369">
        <v>4</v>
      </c>
      <c r="G369">
        <v>2</v>
      </c>
      <c r="H369" s="4">
        <v>0</v>
      </c>
      <c r="I369">
        <v>4</v>
      </c>
      <c r="J369">
        <v>-329</v>
      </c>
      <c r="K369">
        <v>0</v>
      </c>
      <c r="L369">
        <v>0</v>
      </c>
      <c r="M369">
        <v>0</v>
      </c>
      <c r="N369">
        <v>0</v>
      </c>
      <c r="O369" t="str">
        <f t="shared" si="16"/>
        <v>G</v>
      </c>
      <c r="P369" t="str">
        <f t="shared" si="17"/>
        <v>T</v>
      </c>
      <c r="Q369">
        <f>IF(M369=0,0,VLOOKUP(M369,'aa codes'!$A$1:'aa codes'!$B$21,2))</f>
        <v>0</v>
      </c>
      <c r="R369">
        <f>IF(N369=0,0,VLOOKUP(N369,'aa codes'!$A$1:'aa codes'!$B$21,2))</f>
        <v>0</v>
      </c>
      <c r="S369" s="1">
        <v>1.2345679E-2</v>
      </c>
      <c r="T369" s="1">
        <v>1.04166667E-2</v>
      </c>
    </row>
    <row r="370" spans="1:20">
      <c r="A370">
        <v>9</v>
      </c>
      <c r="B370">
        <v>135803034</v>
      </c>
      <c r="C370" t="str">
        <f t="shared" si="15"/>
        <v>9:135803034</v>
      </c>
      <c r="D370">
        <v>3</v>
      </c>
      <c r="E370" s="1">
        <v>1.01010101E-2</v>
      </c>
      <c r="F370">
        <v>1</v>
      </c>
      <c r="G370">
        <v>1</v>
      </c>
      <c r="H370" s="4">
        <v>0</v>
      </c>
      <c r="I370">
        <v>4</v>
      </c>
      <c r="J370">
        <v>-343</v>
      </c>
      <c r="K370">
        <v>0</v>
      </c>
      <c r="L370">
        <v>0</v>
      </c>
      <c r="M370">
        <v>0</v>
      </c>
      <c r="N370">
        <v>0</v>
      </c>
      <c r="O370" t="str">
        <f t="shared" si="16"/>
        <v>C</v>
      </c>
      <c r="P370" t="str">
        <f t="shared" si="17"/>
        <v>A</v>
      </c>
      <c r="Q370">
        <f>IF(M370=0,0,VLOOKUP(M370,'aa codes'!$A$1:'aa codes'!$B$21,2))</f>
        <v>0</v>
      </c>
      <c r="R370">
        <f>IF(N370=0,0,VLOOKUP(N370,'aa codes'!$A$1:'aa codes'!$B$21,2))</f>
        <v>0</v>
      </c>
      <c r="S370" s="1">
        <v>0</v>
      </c>
      <c r="T370" s="1">
        <v>1.01010101E-2</v>
      </c>
    </row>
    <row r="371" spans="1:20">
      <c r="A371">
        <v>9</v>
      </c>
      <c r="B371">
        <v>135803035</v>
      </c>
      <c r="C371" t="str">
        <f t="shared" si="15"/>
        <v>9:135803035</v>
      </c>
      <c r="D371">
        <v>1</v>
      </c>
      <c r="E371" s="1">
        <v>9.6153846200000004E-3</v>
      </c>
      <c r="F371">
        <v>2</v>
      </c>
      <c r="G371">
        <v>1</v>
      </c>
      <c r="H371" s="4">
        <v>0</v>
      </c>
      <c r="I371">
        <v>4</v>
      </c>
      <c r="J371">
        <v>-344</v>
      </c>
      <c r="K371">
        <v>0</v>
      </c>
      <c r="L371">
        <v>0</v>
      </c>
      <c r="M371">
        <v>0</v>
      </c>
      <c r="N371">
        <v>0</v>
      </c>
      <c r="O371" t="str">
        <f t="shared" si="16"/>
        <v>A</v>
      </c>
      <c r="P371" t="str">
        <f t="shared" si="17"/>
        <v>G</v>
      </c>
      <c r="Q371">
        <f>IF(M371=0,0,VLOOKUP(M371,'aa codes'!$A$1:'aa codes'!$B$21,2))</f>
        <v>0</v>
      </c>
      <c r="R371">
        <f>IF(N371=0,0,VLOOKUP(N371,'aa codes'!$A$1:'aa codes'!$B$21,2))</f>
        <v>0</v>
      </c>
      <c r="S371" s="1">
        <v>0</v>
      </c>
      <c r="T371" s="1">
        <v>9.6153846200000004E-3</v>
      </c>
    </row>
    <row r="372" spans="1:20">
      <c r="A372">
        <v>9</v>
      </c>
      <c r="B372">
        <v>135803040</v>
      </c>
      <c r="C372" t="str">
        <f t="shared" si="15"/>
        <v>9:135803040</v>
      </c>
      <c r="D372">
        <v>2</v>
      </c>
      <c r="E372" s="1">
        <v>1.05263158E-2</v>
      </c>
      <c r="F372">
        <v>1</v>
      </c>
      <c r="G372">
        <v>1</v>
      </c>
      <c r="H372" s="4">
        <v>0</v>
      </c>
      <c r="I372">
        <v>4</v>
      </c>
      <c r="J372">
        <v>-349</v>
      </c>
      <c r="K372">
        <v>0</v>
      </c>
      <c r="L372">
        <v>0</v>
      </c>
      <c r="M372">
        <v>0</v>
      </c>
      <c r="N372">
        <v>0</v>
      </c>
      <c r="O372" t="str">
        <f t="shared" si="16"/>
        <v>G</v>
      </c>
      <c r="P372" t="str">
        <f t="shared" si="17"/>
        <v>A</v>
      </c>
      <c r="Q372">
        <f>IF(M372=0,0,VLOOKUP(M372,'aa codes'!$A$1:'aa codes'!$B$21,2))</f>
        <v>0</v>
      </c>
      <c r="R372">
        <f>IF(N372=0,0,VLOOKUP(N372,'aa codes'!$A$1:'aa codes'!$B$21,2))</f>
        <v>0</v>
      </c>
      <c r="S372" s="1">
        <v>0</v>
      </c>
      <c r="T372" s="1">
        <v>1.05263158E-2</v>
      </c>
    </row>
    <row r="373" spans="1:20">
      <c r="A373">
        <v>9</v>
      </c>
      <c r="B373">
        <v>135803051</v>
      </c>
      <c r="C373" t="str">
        <f t="shared" si="15"/>
        <v>9:135803051</v>
      </c>
      <c r="D373">
        <v>4</v>
      </c>
      <c r="E373" s="1">
        <v>6.4935064900000002E-3</v>
      </c>
      <c r="F373">
        <v>3</v>
      </c>
      <c r="G373">
        <v>1</v>
      </c>
      <c r="H373" s="4">
        <v>0</v>
      </c>
      <c r="I373">
        <v>4</v>
      </c>
      <c r="J373">
        <v>-360</v>
      </c>
      <c r="K373">
        <v>0</v>
      </c>
      <c r="L373">
        <v>0</v>
      </c>
      <c r="M373">
        <v>0</v>
      </c>
      <c r="N373">
        <v>0</v>
      </c>
      <c r="O373" t="str">
        <f t="shared" si="16"/>
        <v>T</v>
      </c>
      <c r="P373" t="str">
        <f t="shared" si="17"/>
        <v>C</v>
      </c>
      <c r="Q373">
        <f>IF(M373=0,0,VLOOKUP(M373,'aa codes'!$A$1:'aa codes'!$B$21,2))</f>
        <v>0</v>
      </c>
      <c r="R373">
        <f>IF(N373=0,0,VLOOKUP(N373,'aa codes'!$A$1:'aa codes'!$B$21,2))</f>
        <v>0</v>
      </c>
      <c r="S373" s="1">
        <v>6.4935064900000002E-3</v>
      </c>
      <c r="T373" s="1">
        <v>0</v>
      </c>
    </row>
    <row r="374" spans="1:20">
      <c r="A374">
        <v>9</v>
      </c>
      <c r="B374">
        <v>135803058</v>
      </c>
      <c r="C374" t="str">
        <f t="shared" si="15"/>
        <v>9:135803058</v>
      </c>
      <c r="D374">
        <v>3</v>
      </c>
      <c r="E374" s="1">
        <v>6.7567567599999996E-3</v>
      </c>
      <c r="F374">
        <v>4</v>
      </c>
      <c r="G374">
        <v>1</v>
      </c>
      <c r="H374" s="4">
        <v>0</v>
      </c>
      <c r="I374">
        <v>4</v>
      </c>
      <c r="J374">
        <v>-367</v>
      </c>
      <c r="K374">
        <v>0</v>
      </c>
      <c r="L374">
        <v>0</v>
      </c>
      <c r="M374">
        <v>0</v>
      </c>
      <c r="N374">
        <v>0</v>
      </c>
      <c r="O374" t="str">
        <f t="shared" si="16"/>
        <v>C</v>
      </c>
      <c r="P374" t="str">
        <f t="shared" si="17"/>
        <v>T</v>
      </c>
      <c r="Q374">
        <f>IF(M374=0,0,VLOOKUP(M374,'aa codes'!$A$1:'aa codes'!$B$21,2))</f>
        <v>0</v>
      </c>
      <c r="R374">
        <f>IF(N374=0,0,VLOOKUP(N374,'aa codes'!$A$1:'aa codes'!$B$21,2))</f>
        <v>0</v>
      </c>
      <c r="S374" s="1">
        <v>6.7567567599999996E-3</v>
      </c>
      <c r="T374" s="1">
        <v>0</v>
      </c>
    </row>
    <row r="375" spans="1:20">
      <c r="A375">
        <v>9</v>
      </c>
      <c r="B375">
        <v>135803063</v>
      </c>
      <c r="C375" t="str">
        <f t="shared" si="15"/>
        <v>9:135803063</v>
      </c>
      <c r="D375">
        <v>2</v>
      </c>
      <c r="E375" s="1">
        <v>8.8495575200000006E-3</v>
      </c>
      <c r="F375">
        <v>1</v>
      </c>
      <c r="G375">
        <v>1</v>
      </c>
      <c r="H375" s="4">
        <v>0</v>
      </c>
      <c r="I375">
        <v>4</v>
      </c>
      <c r="J375">
        <v>-372</v>
      </c>
      <c r="K375">
        <v>0</v>
      </c>
      <c r="L375">
        <v>0</v>
      </c>
      <c r="M375">
        <v>0</v>
      </c>
      <c r="N375">
        <v>0</v>
      </c>
      <c r="O375" t="str">
        <f t="shared" si="16"/>
        <v>G</v>
      </c>
      <c r="P375" t="str">
        <f t="shared" si="17"/>
        <v>A</v>
      </c>
      <c r="Q375">
        <f>IF(M375=0,0,VLOOKUP(M375,'aa codes'!$A$1:'aa codes'!$B$21,2))</f>
        <v>0</v>
      </c>
      <c r="R375">
        <f>IF(N375=0,0,VLOOKUP(N375,'aa codes'!$A$1:'aa codes'!$B$21,2))</f>
        <v>0</v>
      </c>
      <c r="S375" s="1">
        <v>0</v>
      </c>
      <c r="T375" s="1">
        <v>8.8495575200000006E-3</v>
      </c>
    </row>
    <row r="376" spans="1:20">
      <c r="A376">
        <v>9</v>
      </c>
      <c r="B376">
        <v>135803067</v>
      </c>
      <c r="C376" t="str">
        <f t="shared" si="15"/>
        <v>9:135803067</v>
      </c>
      <c r="D376">
        <v>3</v>
      </c>
      <c r="E376" s="1">
        <v>6.4935064900000002E-3</v>
      </c>
      <c r="F376">
        <v>4</v>
      </c>
      <c r="G376">
        <v>1</v>
      </c>
      <c r="H376" s="4">
        <v>0</v>
      </c>
      <c r="I376">
        <v>4</v>
      </c>
      <c r="J376">
        <v>-376</v>
      </c>
      <c r="K376">
        <v>0</v>
      </c>
      <c r="L376">
        <v>0</v>
      </c>
      <c r="M376">
        <v>0</v>
      </c>
      <c r="N376">
        <v>0</v>
      </c>
      <c r="O376" t="str">
        <f t="shared" si="16"/>
        <v>C</v>
      </c>
      <c r="P376" t="str">
        <f t="shared" si="17"/>
        <v>T</v>
      </c>
      <c r="Q376">
        <f>IF(M376=0,0,VLOOKUP(M376,'aa codes'!$A$1:'aa codes'!$B$21,2))</f>
        <v>0</v>
      </c>
      <c r="R376">
        <f>IF(N376=0,0,VLOOKUP(N376,'aa codes'!$A$1:'aa codes'!$B$21,2))</f>
        <v>0</v>
      </c>
      <c r="S376" s="1">
        <v>6.4935064900000002E-3</v>
      </c>
      <c r="T376" s="1">
        <v>0</v>
      </c>
    </row>
    <row r="377" spans="1:20">
      <c r="A377">
        <v>9</v>
      </c>
      <c r="B377">
        <v>135803075</v>
      </c>
      <c r="C377" t="str">
        <f t="shared" si="15"/>
        <v>9:135803075</v>
      </c>
      <c r="D377">
        <v>2</v>
      </c>
      <c r="E377" s="1">
        <v>5.9171597600000004E-3</v>
      </c>
      <c r="F377">
        <v>4</v>
      </c>
      <c r="G377">
        <v>1</v>
      </c>
      <c r="H377" s="4">
        <v>0</v>
      </c>
      <c r="I377">
        <v>4</v>
      </c>
      <c r="J377">
        <v>-384</v>
      </c>
      <c r="K377">
        <v>0</v>
      </c>
      <c r="L377">
        <v>0</v>
      </c>
      <c r="M377">
        <v>0</v>
      </c>
      <c r="N377">
        <v>0</v>
      </c>
      <c r="O377" t="str">
        <f t="shared" si="16"/>
        <v>G</v>
      </c>
      <c r="P377" t="str">
        <f t="shared" si="17"/>
        <v>T</v>
      </c>
      <c r="Q377">
        <f>IF(M377=0,0,VLOOKUP(M377,'aa codes'!$A$1:'aa codes'!$B$21,2))</f>
        <v>0</v>
      </c>
      <c r="R377">
        <f>IF(N377=0,0,VLOOKUP(N377,'aa codes'!$A$1:'aa codes'!$B$21,2))</f>
        <v>0</v>
      </c>
      <c r="S377" s="1">
        <v>5.9171597600000004E-3</v>
      </c>
      <c r="T377" s="1">
        <v>0</v>
      </c>
    </row>
    <row r="378" spans="1:20">
      <c r="A378">
        <v>9</v>
      </c>
      <c r="B378">
        <v>135803086</v>
      </c>
      <c r="C378" t="str">
        <f t="shared" si="15"/>
        <v>9:135803086</v>
      </c>
      <c r="D378">
        <v>2</v>
      </c>
      <c r="E378" s="1">
        <v>2.9629629599999999E-2</v>
      </c>
      <c r="F378">
        <v>4</v>
      </c>
      <c r="G378">
        <v>2</v>
      </c>
      <c r="H378" s="4">
        <v>0</v>
      </c>
      <c r="I378">
        <v>4</v>
      </c>
      <c r="J378">
        <v>-395</v>
      </c>
      <c r="K378">
        <v>0</v>
      </c>
      <c r="L378">
        <v>0</v>
      </c>
      <c r="M378">
        <v>0</v>
      </c>
      <c r="N378">
        <v>0</v>
      </c>
      <c r="O378" t="str">
        <f t="shared" si="16"/>
        <v>G</v>
      </c>
      <c r="P378" t="str">
        <f t="shared" si="17"/>
        <v>T</v>
      </c>
      <c r="Q378">
        <f>IF(M378=0,0,VLOOKUP(M378,'aa codes'!$A$1:'aa codes'!$B$21,2))</f>
        <v>0</v>
      </c>
      <c r="R378">
        <f>IF(N378=0,0,VLOOKUP(N378,'aa codes'!$A$1:'aa codes'!$B$21,2))</f>
        <v>0</v>
      </c>
      <c r="S378" s="1">
        <v>5.3475935799999997E-3</v>
      </c>
      <c r="T378" s="1">
        <v>2.9629629599999999E-2</v>
      </c>
    </row>
    <row r="379" spans="1:20">
      <c r="A379">
        <v>9</v>
      </c>
      <c r="B379">
        <v>135803088</v>
      </c>
      <c r="C379" t="str">
        <f t="shared" si="15"/>
        <v>9:135803088</v>
      </c>
      <c r="D379">
        <v>1</v>
      </c>
      <c r="E379" s="1">
        <v>3.0534351099999999E-2</v>
      </c>
      <c r="F379">
        <v>4</v>
      </c>
      <c r="G379">
        <v>2</v>
      </c>
      <c r="H379" s="4">
        <v>0</v>
      </c>
      <c r="I379">
        <v>4</v>
      </c>
      <c r="J379">
        <v>-397</v>
      </c>
      <c r="K379">
        <v>0</v>
      </c>
      <c r="L379">
        <v>0</v>
      </c>
      <c r="M379">
        <v>0</v>
      </c>
      <c r="N379">
        <v>0</v>
      </c>
      <c r="O379" t="str">
        <f t="shared" si="16"/>
        <v>A</v>
      </c>
      <c r="P379" t="str">
        <f t="shared" si="17"/>
        <v>T</v>
      </c>
      <c r="Q379">
        <f>IF(M379=0,0,VLOOKUP(M379,'aa codes'!$A$1:'aa codes'!$B$21,2))</f>
        <v>0</v>
      </c>
      <c r="R379">
        <f>IF(N379=0,0,VLOOKUP(N379,'aa codes'!$A$1:'aa codes'!$B$21,2))</f>
        <v>0</v>
      </c>
      <c r="S379" s="1">
        <v>5.5248618799999998E-3</v>
      </c>
      <c r="T379" s="1">
        <v>3.0534351099999999E-2</v>
      </c>
    </row>
    <row r="380" spans="1:20">
      <c r="A380">
        <v>9</v>
      </c>
      <c r="B380">
        <v>135803094</v>
      </c>
      <c r="C380" t="str">
        <f t="shared" si="15"/>
        <v>9:135803094</v>
      </c>
      <c r="D380">
        <v>1</v>
      </c>
      <c r="E380" s="1">
        <v>2.89855072E-2</v>
      </c>
      <c r="F380">
        <v>4</v>
      </c>
      <c r="G380">
        <v>2</v>
      </c>
      <c r="H380" s="4">
        <v>0</v>
      </c>
      <c r="I380">
        <v>4</v>
      </c>
      <c r="J380">
        <v>-403</v>
      </c>
      <c r="K380">
        <v>0</v>
      </c>
      <c r="L380">
        <v>0</v>
      </c>
      <c r="M380">
        <v>0</v>
      </c>
      <c r="N380">
        <v>0</v>
      </c>
      <c r="O380" t="str">
        <f t="shared" si="16"/>
        <v>A</v>
      </c>
      <c r="P380" t="str">
        <f t="shared" si="17"/>
        <v>T</v>
      </c>
      <c r="Q380">
        <f>IF(M380=0,0,VLOOKUP(M380,'aa codes'!$A$1:'aa codes'!$B$21,2))</f>
        <v>0</v>
      </c>
      <c r="R380">
        <f>IF(N380=0,0,VLOOKUP(N380,'aa codes'!$A$1:'aa codes'!$B$21,2))</f>
        <v>0</v>
      </c>
      <c r="S380" s="1">
        <v>5.3191489399999998E-3</v>
      </c>
      <c r="T380" s="1">
        <v>2.89855072E-2</v>
      </c>
    </row>
    <row r="381" spans="1:20">
      <c r="A381">
        <v>9</v>
      </c>
      <c r="B381">
        <v>135803095</v>
      </c>
      <c r="C381" t="str">
        <f t="shared" si="15"/>
        <v>9:135803095</v>
      </c>
      <c r="D381">
        <v>3</v>
      </c>
      <c r="E381" s="1">
        <v>2.83687943E-2</v>
      </c>
      <c r="F381">
        <v>4</v>
      </c>
      <c r="G381">
        <v>2</v>
      </c>
      <c r="H381" s="4">
        <v>0</v>
      </c>
      <c r="I381">
        <v>4</v>
      </c>
      <c r="J381">
        <v>-404</v>
      </c>
      <c r="K381">
        <v>0</v>
      </c>
      <c r="L381">
        <v>0</v>
      </c>
      <c r="M381">
        <v>0</v>
      </c>
      <c r="N381">
        <v>0</v>
      </c>
      <c r="O381" t="str">
        <f t="shared" si="16"/>
        <v>C</v>
      </c>
      <c r="P381" t="str">
        <f t="shared" si="17"/>
        <v>T</v>
      </c>
      <c r="Q381">
        <f>IF(M381=0,0,VLOOKUP(M381,'aa codes'!$A$1:'aa codes'!$B$21,2))</f>
        <v>0</v>
      </c>
      <c r="R381">
        <f>IF(N381=0,0,VLOOKUP(N381,'aa codes'!$A$1:'aa codes'!$B$21,2))</f>
        <v>0</v>
      </c>
      <c r="S381" s="1">
        <v>5.07614213E-3</v>
      </c>
      <c r="T381" s="1">
        <v>2.83687943E-2</v>
      </c>
    </row>
    <row r="382" spans="1:20">
      <c r="A382">
        <v>9</v>
      </c>
      <c r="B382">
        <v>135803097</v>
      </c>
      <c r="C382" t="str">
        <f t="shared" si="15"/>
        <v>9:135803097</v>
      </c>
      <c r="D382">
        <v>1</v>
      </c>
      <c r="E382" s="1">
        <v>2.8169014100000001E-2</v>
      </c>
      <c r="F382">
        <v>4</v>
      </c>
      <c r="G382">
        <v>1</v>
      </c>
      <c r="H382" s="4">
        <v>0</v>
      </c>
      <c r="I382">
        <v>4</v>
      </c>
      <c r="J382">
        <v>-406</v>
      </c>
      <c r="K382">
        <v>0</v>
      </c>
      <c r="L382">
        <v>0</v>
      </c>
      <c r="M382">
        <v>0</v>
      </c>
      <c r="N382">
        <v>0</v>
      </c>
      <c r="O382" t="str">
        <f t="shared" si="16"/>
        <v>A</v>
      </c>
      <c r="P382" t="str">
        <f t="shared" si="17"/>
        <v>T</v>
      </c>
      <c r="Q382">
        <f>IF(M382=0,0,VLOOKUP(M382,'aa codes'!$A$1:'aa codes'!$B$21,2))</f>
        <v>0</v>
      </c>
      <c r="R382">
        <f>IF(N382=0,0,VLOOKUP(N382,'aa codes'!$A$1:'aa codes'!$B$21,2))</f>
        <v>0</v>
      </c>
      <c r="S382" s="1">
        <v>4.9504950499999999E-3</v>
      </c>
      <c r="T382" s="1">
        <v>2.8169014100000001E-2</v>
      </c>
    </row>
    <row r="383" spans="1:20">
      <c r="A383">
        <v>9</v>
      </c>
      <c r="B383">
        <v>135803098</v>
      </c>
      <c r="C383" t="str">
        <f t="shared" si="15"/>
        <v>9:135803098</v>
      </c>
      <c r="D383">
        <v>2</v>
      </c>
      <c r="E383" s="1">
        <v>7.4074074099999996E-3</v>
      </c>
      <c r="F383">
        <v>4</v>
      </c>
      <c r="G383">
        <v>1</v>
      </c>
      <c r="H383" s="4">
        <v>0</v>
      </c>
      <c r="I383">
        <v>4</v>
      </c>
      <c r="J383">
        <v>-407</v>
      </c>
      <c r="K383">
        <v>0</v>
      </c>
      <c r="L383">
        <v>0</v>
      </c>
      <c r="M383">
        <v>0</v>
      </c>
      <c r="N383">
        <v>0</v>
      </c>
      <c r="O383" t="str">
        <f t="shared" si="16"/>
        <v>G</v>
      </c>
      <c r="P383" t="str">
        <f t="shared" si="17"/>
        <v>T</v>
      </c>
      <c r="Q383">
        <f>IF(M383=0,0,VLOOKUP(M383,'aa codes'!$A$1:'aa codes'!$B$21,2))</f>
        <v>0</v>
      </c>
      <c r="R383">
        <f>IF(N383=0,0,VLOOKUP(N383,'aa codes'!$A$1:'aa codes'!$B$21,2))</f>
        <v>0</v>
      </c>
      <c r="S383" s="1">
        <v>0</v>
      </c>
      <c r="T383" s="1">
        <v>7.4074074099999996E-3</v>
      </c>
    </row>
    <row r="384" spans="1:20">
      <c r="A384">
        <v>9</v>
      </c>
      <c r="B384">
        <v>135803106</v>
      </c>
      <c r="C384" t="str">
        <f t="shared" si="15"/>
        <v>9:135803106</v>
      </c>
      <c r="D384">
        <v>2</v>
      </c>
      <c r="E384" s="1">
        <v>7.75193798E-3</v>
      </c>
      <c r="F384">
        <v>1</v>
      </c>
      <c r="G384">
        <v>1</v>
      </c>
      <c r="H384" s="4">
        <v>0</v>
      </c>
      <c r="I384">
        <v>4</v>
      </c>
      <c r="J384">
        <v>-415</v>
      </c>
      <c r="K384">
        <v>0</v>
      </c>
      <c r="L384">
        <v>0</v>
      </c>
      <c r="M384">
        <v>0</v>
      </c>
      <c r="N384">
        <v>0</v>
      </c>
      <c r="O384" t="str">
        <f t="shared" si="16"/>
        <v>G</v>
      </c>
      <c r="P384" t="str">
        <f t="shared" si="17"/>
        <v>A</v>
      </c>
      <c r="Q384">
        <f>IF(M384=0,0,VLOOKUP(M384,'aa codes'!$A$1:'aa codes'!$B$21,2))</f>
        <v>0</v>
      </c>
      <c r="R384">
        <f>IF(N384=0,0,VLOOKUP(N384,'aa codes'!$A$1:'aa codes'!$B$21,2))</f>
        <v>0</v>
      </c>
      <c r="S384" s="1">
        <v>0</v>
      </c>
      <c r="T384" s="1">
        <v>7.75193798E-3</v>
      </c>
    </row>
    <row r="385" spans="1:20">
      <c r="A385">
        <v>9</v>
      </c>
      <c r="B385">
        <v>135803108</v>
      </c>
      <c r="C385" t="str">
        <f t="shared" si="15"/>
        <v>9:135803108</v>
      </c>
      <c r="D385">
        <v>4</v>
      </c>
      <c r="E385" s="1">
        <v>3.0075187999999999E-2</v>
      </c>
      <c r="F385">
        <v>3</v>
      </c>
      <c r="G385">
        <v>1</v>
      </c>
      <c r="H385" s="4">
        <v>0</v>
      </c>
      <c r="I385">
        <v>4</v>
      </c>
      <c r="J385">
        <v>-417</v>
      </c>
      <c r="K385">
        <v>0</v>
      </c>
      <c r="L385">
        <v>0</v>
      </c>
      <c r="M385">
        <v>0</v>
      </c>
      <c r="N385">
        <v>0</v>
      </c>
      <c r="O385" t="str">
        <f t="shared" si="16"/>
        <v>T</v>
      </c>
      <c r="P385" t="str">
        <f t="shared" si="17"/>
        <v>C</v>
      </c>
      <c r="Q385">
        <f>IF(M385=0,0,VLOOKUP(M385,'aa codes'!$A$1:'aa codes'!$B$21,2))</f>
        <v>0</v>
      </c>
      <c r="R385">
        <f>IF(N385=0,0,VLOOKUP(N385,'aa codes'!$A$1:'aa codes'!$B$21,2))</f>
        <v>0</v>
      </c>
      <c r="S385" s="1">
        <v>0</v>
      </c>
      <c r="T385" s="1">
        <v>3.0075187999999999E-2</v>
      </c>
    </row>
    <row r="386" spans="1:20">
      <c r="A386">
        <v>9</v>
      </c>
      <c r="B386">
        <v>135803159</v>
      </c>
      <c r="C386" t="str">
        <f t="shared" si="15"/>
        <v>9:135803159</v>
      </c>
      <c r="D386">
        <v>2</v>
      </c>
      <c r="E386" s="1">
        <v>5.3191489399999998E-3</v>
      </c>
      <c r="F386">
        <v>1</v>
      </c>
      <c r="G386">
        <v>1</v>
      </c>
      <c r="H386" s="4">
        <v>6.4900000000000005E-5</v>
      </c>
      <c r="I386">
        <v>4</v>
      </c>
      <c r="J386">
        <v>-468</v>
      </c>
      <c r="K386">
        <v>0</v>
      </c>
      <c r="L386">
        <v>0</v>
      </c>
      <c r="M386">
        <v>0</v>
      </c>
      <c r="N386">
        <v>0</v>
      </c>
      <c r="O386" t="str">
        <f t="shared" si="16"/>
        <v>G</v>
      </c>
      <c r="P386" t="str">
        <f t="shared" si="17"/>
        <v>A</v>
      </c>
      <c r="Q386">
        <f>IF(M386=0,0,VLOOKUP(M386,'aa codes'!$A$1:'aa codes'!$B$21,2))</f>
        <v>0</v>
      </c>
      <c r="R386">
        <f>IF(N386=0,0,VLOOKUP(N386,'aa codes'!$A$1:'aa codes'!$B$21,2))</f>
        <v>0</v>
      </c>
      <c r="S386" s="1">
        <v>5.3191489399999998E-3</v>
      </c>
      <c r="T386" s="1">
        <v>0</v>
      </c>
    </row>
    <row r="387" spans="1:20">
      <c r="A387">
        <v>9</v>
      </c>
      <c r="B387">
        <v>135803164</v>
      </c>
      <c r="C387" t="str">
        <f t="shared" ref="C387:C450" si="18">A387&amp;":"&amp;B387</f>
        <v>9:135803164</v>
      </c>
      <c r="D387">
        <v>2</v>
      </c>
      <c r="E387" s="1">
        <v>5.1282051299999997E-3</v>
      </c>
      <c r="F387">
        <v>1</v>
      </c>
      <c r="G387">
        <v>1</v>
      </c>
      <c r="H387" s="4">
        <v>3.2400000000000001E-5</v>
      </c>
      <c r="I387">
        <v>4</v>
      </c>
      <c r="J387">
        <v>-473</v>
      </c>
      <c r="K387">
        <v>0</v>
      </c>
      <c r="L387">
        <v>0</v>
      </c>
      <c r="M387">
        <v>0</v>
      </c>
      <c r="N387">
        <v>0</v>
      </c>
      <c r="O387" t="str">
        <f t="shared" ref="O387:O450" si="19">IF(D387=1,"A",IF(D387=2,"G",IF(D387=3,"C",IF(D387=4,"T","2NT"))))</f>
        <v>G</v>
      </c>
      <c r="P387" t="str">
        <f t="shared" ref="P387:P450" si="20">IF(F387=1,"A",IF(F387=2,"G",IF(F387=3,"C",IF(F387=4,"T","2NT"))))</f>
        <v>A</v>
      </c>
      <c r="Q387">
        <f>IF(M387=0,0,VLOOKUP(M387,'aa codes'!$A$1:'aa codes'!$B$21,2))</f>
        <v>0</v>
      </c>
      <c r="R387">
        <f>IF(N387=0,0,VLOOKUP(N387,'aa codes'!$A$1:'aa codes'!$B$21,2))</f>
        <v>0</v>
      </c>
      <c r="S387" s="1">
        <v>5.1282051299999997E-3</v>
      </c>
      <c r="T387" s="1">
        <v>0</v>
      </c>
    </row>
    <row r="388" spans="1:20">
      <c r="A388">
        <v>9</v>
      </c>
      <c r="B388">
        <v>135804735</v>
      </c>
      <c r="C388" t="str">
        <f t="shared" si="18"/>
        <v>9:135804735</v>
      </c>
      <c r="D388">
        <v>4</v>
      </c>
      <c r="E388" s="1">
        <v>0.52764761000000004</v>
      </c>
      <c r="F388">
        <v>3</v>
      </c>
      <c r="G388">
        <v>2</v>
      </c>
      <c r="H388" s="4">
        <v>0.4133</v>
      </c>
      <c r="I388">
        <v>3</v>
      </c>
      <c r="J388">
        <v>-396</v>
      </c>
      <c r="K388">
        <v>0</v>
      </c>
      <c r="L388">
        <v>0</v>
      </c>
      <c r="M388">
        <v>0</v>
      </c>
      <c r="N388">
        <v>0</v>
      </c>
      <c r="O388" t="str">
        <f t="shared" si="19"/>
        <v>T</v>
      </c>
      <c r="P388" t="str">
        <f t="shared" si="20"/>
        <v>C</v>
      </c>
      <c r="Q388">
        <f>IF(M388=0,0,VLOOKUP(M388,'aa codes'!$A$1:'aa codes'!$B$21,2))</f>
        <v>0</v>
      </c>
      <c r="R388">
        <f>IF(N388=0,0,VLOOKUP(N388,'aa codes'!$A$1:'aa codes'!$B$21,2))</f>
        <v>0</v>
      </c>
      <c r="S388" s="1">
        <v>0.52764761000000004</v>
      </c>
      <c r="T388" s="1">
        <v>0.52677279300000002</v>
      </c>
    </row>
    <row r="389" spans="1:20">
      <c r="A389">
        <v>9</v>
      </c>
      <c r="B389">
        <v>135805796</v>
      </c>
      <c r="C389" t="str">
        <f t="shared" si="18"/>
        <v>9:135805796</v>
      </c>
      <c r="D389">
        <v>4</v>
      </c>
      <c r="E389" s="1">
        <v>5.26315789E-3</v>
      </c>
      <c r="F389">
        <v>3</v>
      </c>
      <c r="G389">
        <v>1</v>
      </c>
      <c r="H389" s="4">
        <v>0</v>
      </c>
      <c r="I389">
        <v>3</v>
      </c>
      <c r="J389">
        <v>-1457</v>
      </c>
      <c r="K389">
        <v>0</v>
      </c>
      <c r="L389">
        <v>0</v>
      </c>
      <c r="M389">
        <v>0</v>
      </c>
      <c r="N389">
        <v>0</v>
      </c>
      <c r="O389" t="str">
        <f t="shared" si="19"/>
        <v>T</v>
      </c>
      <c r="P389" t="str">
        <f t="shared" si="20"/>
        <v>C</v>
      </c>
      <c r="Q389">
        <f>IF(M389=0,0,VLOOKUP(M389,'aa codes'!$A$1:'aa codes'!$B$21,2))</f>
        <v>0</v>
      </c>
      <c r="R389">
        <f>IF(N389=0,0,VLOOKUP(N389,'aa codes'!$A$1:'aa codes'!$B$21,2))</f>
        <v>0</v>
      </c>
      <c r="S389" s="1">
        <v>0</v>
      </c>
      <c r="T389" s="1">
        <v>5.26315789E-3</v>
      </c>
    </row>
    <row r="390" spans="1:20">
      <c r="A390">
        <v>9</v>
      </c>
      <c r="B390">
        <v>135805802</v>
      </c>
      <c r="C390" t="str">
        <f t="shared" si="18"/>
        <v>9:135805802</v>
      </c>
      <c r="D390">
        <v>3</v>
      </c>
      <c r="E390" s="1">
        <v>5.7471264399999999E-3</v>
      </c>
      <c r="F390">
        <v>2</v>
      </c>
      <c r="G390">
        <v>1</v>
      </c>
      <c r="H390" s="4">
        <v>0</v>
      </c>
      <c r="I390">
        <v>3</v>
      </c>
      <c r="J390">
        <v>-1463</v>
      </c>
      <c r="K390">
        <v>0</v>
      </c>
      <c r="L390">
        <v>0</v>
      </c>
      <c r="M390">
        <v>0</v>
      </c>
      <c r="N390">
        <v>0</v>
      </c>
      <c r="O390" t="str">
        <f t="shared" si="19"/>
        <v>C</v>
      </c>
      <c r="P390" t="str">
        <f t="shared" si="20"/>
        <v>G</v>
      </c>
      <c r="Q390">
        <f>IF(M390=0,0,VLOOKUP(M390,'aa codes'!$A$1:'aa codes'!$B$21,2))</f>
        <v>0</v>
      </c>
      <c r="R390">
        <f>IF(N390=0,0,VLOOKUP(N390,'aa codes'!$A$1:'aa codes'!$B$21,2))</f>
        <v>0</v>
      </c>
      <c r="S390" s="1">
        <v>0</v>
      </c>
      <c r="T390" s="1">
        <v>5.7471264399999999E-3</v>
      </c>
    </row>
    <row r="391" spans="1:20">
      <c r="A391">
        <v>9</v>
      </c>
      <c r="B391">
        <v>135805805</v>
      </c>
      <c r="C391" t="str">
        <f t="shared" si="18"/>
        <v>9:135805805</v>
      </c>
      <c r="D391">
        <v>2</v>
      </c>
      <c r="E391" s="1">
        <v>1.14942529E-2</v>
      </c>
      <c r="F391">
        <v>4</v>
      </c>
      <c r="G391">
        <v>1</v>
      </c>
      <c r="H391" s="4">
        <v>0</v>
      </c>
      <c r="I391">
        <v>3</v>
      </c>
      <c r="J391">
        <v>-1466</v>
      </c>
      <c r="K391">
        <v>0</v>
      </c>
      <c r="L391">
        <v>0</v>
      </c>
      <c r="M391">
        <v>0</v>
      </c>
      <c r="N391">
        <v>0</v>
      </c>
      <c r="O391" t="str">
        <f t="shared" si="19"/>
        <v>G</v>
      </c>
      <c r="P391" t="str">
        <f t="shared" si="20"/>
        <v>T</v>
      </c>
      <c r="Q391">
        <f>IF(M391=0,0,VLOOKUP(M391,'aa codes'!$A$1:'aa codes'!$B$21,2))</f>
        <v>0</v>
      </c>
      <c r="R391">
        <f>IF(N391=0,0,VLOOKUP(N391,'aa codes'!$A$1:'aa codes'!$B$21,2))</f>
        <v>0</v>
      </c>
      <c r="S391" s="1">
        <v>2.6595744699999999E-3</v>
      </c>
      <c r="T391" s="1">
        <v>1.14942529E-2</v>
      </c>
    </row>
    <row r="392" spans="1:20">
      <c r="A392">
        <v>9</v>
      </c>
      <c r="B392">
        <v>135805810</v>
      </c>
      <c r="C392" t="str">
        <f t="shared" si="18"/>
        <v>9:135805810</v>
      </c>
      <c r="D392">
        <v>4</v>
      </c>
      <c r="E392" s="1">
        <v>5.7803468199999998E-3</v>
      </c>
      <c r="F392">
        <v>2</v>
      </c>
      <c r="G392">
        <v>1</v>
      </c>
      <c r="H392" s="4">
        <v>0</v>
      </c>
      <c r="I392">
        <v>3</v>
      </c>
      <c r="J392">
        <v>-1471</v>
      </c>
      <c r="K392">
        <v>0</v>
      </c>
      <c r="L392">
        <v>0</v>
      </c>
      <c r="M392">
        <v>0</v>
      </c>
      <c r="N392">
        <v>0</v>
      </c>
      <c r="O392" t="str">
        <f t="shared" si="19"/>
        <v>T</v>
      </c>
      <c r="P392" t="str">
        <f t="shared" si="20"/>
        <v>G</v>
      </c>
      <c r="Q392">
        <f>IF(M392=0,0,VLOOKUP(M392,'aa codes'!$A$1:'aa codes'!$B$21,2))</f>
        <v>0</v>
      </c>
      <c r="R392">
        <f>IF(N392=0,0,VLOOKUP(N392,'aa codes'!$A$1:'aa codes'!$B$21,2))</f>
        <v>0</v>
      </c>
      <c r="S392" s="1">
        <v>0</v>
      </c>
      <c r="T392" s="1">
        <v>5.7803468199999998E-3</v>
      </c>
    </row>
    <row r="393" spans="1:20">
      <c r="A393">
        <v>9</v>
      </c>
      <c r="B393">
        <v>135805813</v>
      </c>
      <c r="C393" t="str">
        <f t="shared" si="18"/>
        <v>9:135805813</v>
      </c>
      <c r="D393">
        <v>4</v>
      </c>
      <c r="E393" s="1">
        <v>5.7142857100000001E-3</v>
      </c>
      <c r="F393">
        <v>1</v>
      </c>
      <c r="G393">
        <v>1</v>
      </c>
      <c r="H393" s="4">
        <v>0</v>
      </c>
      <c r="I393">
        <v>3</v>
      </c>
      <c r="J393">
        <v>-1474</v>
      </c>
      <c r="K393">
        <v>0</v>
      </c>
      <c r="L393">
        <v>0</v>
      </c>
      <c r="M393">
        <v>0</v>
      </c>
      <c r="N393">
        <v>0</v>
      </c>
      <c r="O393" t="str">
        <f t="shared" si="19"/>
        <v>T</v>
      </c>
      <c r="P393" t="str">
        <f t="shared" si="20"/>
        <v>A</v>
      </c>
      <c r="Q393">
        <f>IF(M393=0,0,VLOOKUP(M393,'aa codes'!$A$1:'aa codes'!$B$21,2))</f>
        <v>0</v>
      </c>
      <c r="R393">
        <f>IF(N393=0,0,VLOOKUP(N393,'aa codes'!$A$1:'aa codes'!$B$21,2))</f>
        <v>0</v>
      </c>
      <c r="S393" s="1">
        <v>0</v>
      </c>
      <c r="T393" s="1">
        <v>5.7142857100000001E-3</v>
      </c>
    </row>
    <row r="394" spans="1:20">
      <c r="A394">
        <v>9</v>
      </c>
      <c r="B394">
        <v>135805815</v>
      </c>
      <c r="C394" t="str">
        <f t="shared" si="18"/>
        <v>9:135805815</v>
      </c>
      <c r="D394">
        <v>1</v>
      </c>
      <c r="E394" s="1">
        <v>5.6179775300000002E-3</v>
      </c>
      <c r="F394">
        <v>2</v>
      </c>
      <c r="G394">
        <v>1</v>
      </c>
      <c r="H394" s="4">
        <v>0</v>
      </c>
      <c r="I394">
        <v>3</v>
      </c>
      <c r="J394">
        <v>-1476</v>
      </c>
      <c r="K394">
        <v>0</v>
      </c>
      <c r="L394">
        <v>0</v>
      </c>
      <c r="M394">
        <v>0</v>
      </c>
      <c r="N394">
        <v>0</v>
      </c>
      <c r="O394" t="str">
        <f t="shared" si="19"/>
        <v>A</v>
      </c>
      <c r="P394" t="str">
        <f t="shared" si="20"/>
        <v>G</v>
      </c>
      <c r="Q394">
        <f>IF(M394=0,0,VLOOKUP(M394,'aa codes'!$A$1:'aa codes'!$B$21,2))</f>
        <v>0</v>
      </c>
      <c r="R394">
        <f>IF(N394=0,0,VLOOKUP(N394,'aa codes'!$A$1:'aa codes'!$B$21,2))</f>
        <v>0</v>
      </c>
      <c r="S394" s="1">
        <v>0</v>
      </c>
      <c r="T394" s="1">
        <v>5.6179775300000002E-3</v>
      </c>
    </row>
    <row r="395" spans="1:20">
      <c r="A395">
        <v>9</v>
      </c>
      <c r="B395">
        <v>135805843</v>
      </c>
      <c r="C395" t="str">
        <f t="shared" si="18"/>
        <v>9:135805843</v>
      </c>
      <c r="D395">
        <v>3</v>
      </c>
      <c r="E395" s="1">
        <v>7.6923076899999996E-3</v>
      </c>
      <c r="F395">
        <v>4</v>
      </c>
      <c r="G395">
        <v>2</v>
      </c>
      <c r="H395" s="4">
        <v>3.2499999999999997E-5</v>
      </c>
      <c r="I395">
        <v>3</v>
      </c>
      <c r="J395">
        <v>-1504</v>
      </c>
      <c r="K395">
        <v>0</v>
      </c>
      <c r="L395">
        <v>0</v>
      </c>
      <c r="M395">
        <v>0</v>
      </c>
      <c r="N395">
        <v>0</v>
      </c>
      <c r="O395" t="str">
        <f t="shared" si="19"/>
        <v>C</v>
      </c>
      <c r="P395" t="str">
        <f t="shared" si="20"/>
        <v>T</v>
      </c>
      <c r="Q395">
        <f>IF(M395=0,0,VLOOKUP(M395,'aa codes'!$A$1:'aa codes'!$B$21,2))</f>
        <v>0</v>
      </c>
      <c r="R395">
        <f>IF(N395=0,0,VLOOKUP(N395,'aa codes'!$A$1:'aa codes'!$B$21,2))</f>
        <v>0</v>
      </c>
      <c r="S395" s="1">
        <v>7.6923076899999996E-3</v>
      </c>
      <c r="T395" s="1">
        <v>6.9930069899999999E-3</v>
      </c>
    </row>
    <row r="396" spans="1:20">
      <c r="A396">
        <v>9</v>
      </c>
      <c r="B396">
        <v>135805844</v>
      </c>
      <c r="C396" t="str">
        <f t="shared" si="18"/>
        <v>9:135805844</v>
      </c>
      <c r="D396">
        <v>2</v>
      </c>
      <c r="E396" s="1">
        <v>7.0422535199999997E-3</v>
      </c>
      <c r="F396">
        <v>1</v>
      </c>
      <c r="G396">
        <v>1</v>
      </c>
      <c r="H396" s="4">
        <v>0</v>
      </c>
      <c r="I396">
        <v>3</v>
      </c>
      <c r="J396">
        <v>-1505</v>
      </c>
      <c r="K396">
        <v>0</v>
      </c>
      <c r="L396">
        <v>0</v>
      </c>
      <c r="M396">
        <v>0</v>
      </c>
      <c r="N396">
        <v>0</v>
      </c>
      <c r="O396" t="str">
        <f t="shared" si="19"/>
        <v>G</v>
      </c>
      <c r="P396" t="str">
        <f t="shared" si="20"/>
        <v>A</v>
      </c>
      <c r="Q396">
        <f>IF(M396=0,0,VLOOKUP(M396,'aa codes'!$A$1:'aa codes'!$B$21,2))</f>
        <v>0</v>
      </c>
      <c r="R396">
        <f>IF(N396=0,0,VLOOKUP(N396,'aa codes'!$A$1:'aa codes'!$B$21,2))</f>
        <v>0</v>
      </c>
      <c r="S396" s="1">
        <v>0</v>
      </c>
      <c r="T396" s="1">
        <v>7.0422535199999997E-3</v>
      </c>
    </row>
    <row r="397" spans="1:20">
      <c r="A397">
        <v>9</v>
      </c>
      <c r="B397">
        <v>135805853</v>
      </c>
      <c r="C397" t="str">
        <f t="shared" si="18"/>
        <v>9:135805853</v>
      </c>
      <c r="D397">
        <v>4</v>
      </c>
      <c r="E397" s="1">
        <v>6.7567567599999996E-3</v>
      </c>
      <c r="F397">
        <v>3</v>
      </c>
      <c r="G397">
        <v>1</v>
      </c>
      <c r="H397" s="4">
        <v>0</v>
      </c>
      <c r="I397">
        <v>3</v>
      </c>
      <c r="J397">
        <v>-1514</v>
      </c>
      <c r="K397">
        <v>0</v>
      </c>
      <c r="L397">
        <v>0</v>
      </c>
      <c r="M397">
        <v>0</v>
      </c>
      <c r="N397">
        <v>0</v>
      </c>
      <c r="O397" t="str">
        <f t="shared" si="19"/>
        <v>T</v>
      </c>
      <c r="P397" t="str">
        <f t="shared" si="20"/>
        <v>C</v>
      </c>
      <c r="Q397">
        <f>IF(M397=0,0,VLOOKUP(M397,'aa codes'!$A$1:'aa codes'!$B$21,2))</f>
        <v>0</v>
      </c>
      <c r="R397">
        <f>IF(N397=0,0,VLOOKUP(N397,'aa codes'!$A$1:'aa codes'!$B$21,2))</f>
        <v>0</v>
      </c>
      <c r="S397" s="1">
        <v>0</v>
      </c>
      <c r="T397" s="1">
        <v>6.7567567599999996E-3</v>
      </c>
    </row>
    <row r="398" spans="1:20">
      <c r="A398">
        <v>9</v>
      </c>
      <c r="B398">
        <v>135805875</v>
      </c>
      <c r="C398" t="str">
        <f t="shared" si="18"/>
        <v>9:135805875</v>
      </c>
      <c r="D398">
        <v>4</v>
      </c>
      <c r="E398" s="1">
        <v>7.75193798E-3</v>
      </c>
      <c r="F398">
        <v>3</v>
      </c>
      <c r="G398">
        <v>1</v>
      </c>
      <c r="H398" s="4">
        <v>0</v>
      </c>
      <c r="I398">
        <v>3</v>
      </c>
      <c r="J398">
        <v>-1536</v>
      </c>
      <c r="K398">
        <v>0</v>
      </c>
      <c r="L398">
        <v>0</v>
      </c>
      <c r="M398">
        <v>0</v>
      </c>
      <c r="N398">
        <v>0</v>
      </c>
      <c r="O398" t="str">
        <f t="shared" si="19"/>
        <v>T</v>
      </c>
      <c r="P398" t="str">
        <f t="shared" si="20"/>
        <v>C</v>
      </c>
      <c r="Q398">
        <f>IF(M398=0,0,VLOOKUP(M398,'aa codes'!$A$1:'aa codes'!$B$21,2))</f>
        <v>0</v>
      </c>
      <c r="R398">
        <f>IF(N398=0,0,VLOOKUP(N398,'aa codes'!$A$1:'aa codes'!$B$21,2))</f>
        <v>0</v>
      </c>
      <c r="S398" s="1">
        <v>0</v>
      </c>
      <c r="T398" s="1">
        <v>7.75193798E-3</v>
      </c>
    </row>
    <row r="399" spans="1:20">
      <c r="A399">
        <v>9</v>
      </c>
      <c r="B399">
        <v>135805912</v>
      </c>
      <c r="C399" t="str">
        <f t="shared" si="18"/>
        <v>9:135805912</v>
      </c>
      <c r="D399">
        <v>4</v>
      </c>
      <c r="E399" s="1">
        <v>5.0000000000000001E-3</v>
      </c>
      <c r="F399">
        <v>3</v>
      </c>
      <c r="G399">
        <v>1</v>
      </c>
      <c r="H399" s="4">
        <v>0</v>
      </c>
      <c r="I399">
        <v>3</v>
      </c>
      <c r="J399">
        <v>-1573</v>
      </c>
      <c r="K399">
        <v>0</v>
      </c>
      <c r="L399">
        <v>0</v>
      </c>
      <c r="M399">
        <v>0</v>
      </c>
      <c r="N399">
        <v>0</v>
      </c>
      <c r="O399" t="str">
        <f t="shared" si="19"/>
        <v>T</v>
      </c>
      <c r="P399" t="str">
        <f t="shared" si="20"/>
        <v>C</v>
      </c>
      <c r="Q399">
        <f>IF(M399=0,0,VLOOKUP(M399,'aa codes'!$A$1:'aa codes'!$B$21,2))</f>
        <v>0</v>
      </c>
      <c r="R399">
        <f>IF(N399=0,0,VLOOKUP(N399,'aa codes'!$A$1:'aa codes'!$B$21,2))</f>
        <v>0</v>
      </c>
      <c r="S399" s="1">
        <v>5.0000000000000001E-3</v>
      </c>
      <c r="T399" s="1">
        <v>0</v>
      </c>
    </row>
    <row r="400" spans="1:20">
      <c r="A400">
        <v>9</v>
      </c>
      <c r="B400">
        <v>135805922</v>
      </c>
      <c r="C400" t="str">
        <f t="shared" si="18"/>
        <v>9:135805922</v>
      </c>
      <c r="D400">
        <v>4</v>
      </c>
      <c r="E400" s="1">
        <v>1.05820106E-2</v>
      </c>
      <c r="F400">
        <v>1</v>
      </c>
      <c r="G400">
        <v>2</v>
      </c>
      <c r="H400" s="4">
        <v>0</v>
      </c>
      <c r="I400">
        <v>3</v>
      </c>
      <c r="J400">
        <v>-1583</v>
      </c>
      <c r="K400">
        <v>0</v>
      </c>
      <c r="L400">
        <v>0</v>
      </c>
      <c r="M400">
        <v>0</v>
      </c>
      <c r="N400">
        <v>0</v>
      </c>
      <c r="O400" t="str">
        <f t="shared" si="19"/>
        <v>T</v>
      </c>
      <c r="P400" t="str">
        <f t="shared" si="20"/>
        <v>A</v>
      </c>
      <c r="Q400">
        <f>IF(M400=0,0,VLOOKUP(M400,'aa codes'!$A$1:'aa codes'!$B$21,2))</f>
        <v>0</v>
      </c>
      <c r="R400">
        <f>IF(N400=0,0,VLOOKUP(N400,'aa codes'!$A$1:'aa codes'!$B$21,2))</f>
        <v>0</v>
      </c>
      <c r="S400" s="1">
        <v>1.05820106E-2</v>
      </c>
      <c r="T400" s="1">
        <v>7.8740157499999994E-3</v>
      </c>
    </row>
    <row r="401" spans="1:20">
      <c r="A401">
        <v>9</v>
      </c>
      <c r="B401">
        <v>135805923</v>
      </c>
      <c r="C401" t="str">
        <f t="shared" si="18"/>
        <v>9:135805923</v>
      </c>
      <c r="D401">
        <v>3</v>
      </c>
      <c r="E401" s="1">
        <v>7.4626865699999999E-3</v>
      </c>
      <c r="F401">
        <v>4</v>
      </c>
      <c r="G401">
        <v>1</v>
      </c>
      <c r="H401" s="4">
        <v>0</v>
      </c>
      <c r="I401">
        <v>3</v>
      </c>
      <c r="J401">
        <v>-1584</v>
      </c>
      <c r="K401">
        <v>0</v>
      </c>
      <c r="L401">
        <v>0</v>
      </c>
      <c r="M401">
        <v>0</v>
      </c>
      <c r="N401">
        <v>0</v>
      </c>
      <c r="O401" t="str">
        <f t="shared" si="19"/>
        <v>C</v>
      </c>
      <c r="P401" t="str">
        <f t="shared" si="20"/>
        <v>T</v>
      </c>
      <c r="Q401">
        <f>IF(M401=0,0,VLOOKUP(M401,'aa codes'!$A$1:'aa codes'!$B$21,2))</f>
        <v>0</v>
      </c>
      <c r="R401">
        <f>IF(N401=0,0,VLOOKUP(N401,'aa codes'!$A$1:'aa codes'!$B$21,2))</f>
        <v>0</v>
      </c>
      <c r="S401" s="1">
        <v>0</v>
      </c>
      <c r="T401" s="1">
        <v>7.4626865699999999E-3</v>
      </c>
    </row>
    <row r="402" spans="1:20">
      <c r="A402">
        <v>9</v>
      </c>
      <c r="B402">
        <v>135805927</v>
      </c>
      <c r="C402" t="str">
        <f t="shared" si="18"/>
        <v>9:135805927</v>
      </c>
      <c r="D402">
        <v>2</v>
      </c>
      <c r="E402" s="1">
        <v>1.51515152E-2</v>
      </c>
      <c r="F402">
        <v>1</v>
      </c>
      <c r="G402">
        <v>1</v>
      </c>
      <c r="H402" s="4">
        <v>0</v>
      </c>
      <c r="I402">
        <v>3</v>
      </c>
      <c r="J402">
        <v>-1588</v>
      </c>
      <c r="K402">
        <v>0</v>
      </c>
      <c r="L402">
        <v>0</v>
      </c>
      <c r="M402">
        <v>0</v>
      </c>
      <c r="N402">
        <v>0</v>
      </c>
      <c r="O402" t="str">
        <f t="shared" si="19"/>
        <v>G</v>
      </c>
      <c r="P402" t="str">
        <f t="shared" si="20"/>
        <v>A</v>
      </c>
      <c r="Q402">
        <f>IF(M402=0,0,VLOOKUP(M402,'aa codes'!$A$1:'aa codes'!$B$21,2))</f>
        <v>0</v>
      </c>
      <c r="R402">
        <f>IF(N402=0,0,VLOOKUP(N402,'aa codes'!$A$1:'aa codes'!$B$21,2))</f>
        <v>0</v>
      </c>
      <c r="S402" s="1">
        <v>1.51515152E-2</v>
      </c>
      <c r="T402" s="1">
        <v>0</v>
      </c>
    </row>
    <row r="403" spans="1:20">
      <c r="A403">
        <v>9</v>
      </c>
      <c r="B403">
        <v>135805928</v>
      </c>
      <c r="C403" t="str">
        <f t="shared" si="18"/>
        <v>9:135805928</v>
      </c>
      <c r="D403">
        <v>4</v>
      </c>
      <c r="E403" s="1">
        <v>5.0000000000000001E-3</v>
      </c>
      <c r="F403">
        <v>3</v>
      </c>
      <c r="G403">
        <v>1</v>
      </c>
      <c r="H403" s="4">
        <v>0</v>
      </c>
      <c r="I403">
        <v>3</v>
      </c>
      <c r="J403">
        <v>-1589</v>
      </c>
      <c r="K403">
        <v>0</v>
      </c>
      <c r="L403">
        <v>0</v>
      </c>
      <c r="M403">
        <v>0</v>
      </c>
      <c r="N403">
        <v>0</v>
      </c>
      <c r="O403" t="str">
        <f t="shared" si="19"/>
        <v>T</v>
      </c>
      <c r="P403" t="str">
        <f t="shared" si="20"/>
        <v>C</v>
      </c>
      <c r="Q403">
        <f>IF(M403=0,0,VLOOKUP(M403,'aa codes'!$A$1:'aa codes'!$B$21,2))</f>
        <v>0</v>
      </c>
      <c r="R403">
        <f>IF(N403=0,0,VLOOKUP(N403,'aa codes'!$A$1:'aa codes'!$B$21,2))</f>
        <v>0</v>
      </c>
      <c r="S403" s="1">
        <v>5.0000000000000001E-3</v>
      </c>
      <c r="T403" s="1">
        <v>0</v>
      </c>
    </row>
    <row r="404" spans="1:20">
      <c r="A404">
        <v>9</v>
      </c>
      <c r="B404">
        <v>135805930</v>
      </c>
      <c r="C404" t="str">
        <f t="shared" si="18"/>
        <v>9:135805930</v>
      </c>
      <c r="D404">
        <v>1</v>
      </c>
      <c r="E404" s="1">
        <v>7.0921985800000004E-3</v>
      </c>
      <c r="F404">
        <v>2</v>
      </c>
      <c r="G404">
        <v>1</v>
      </c>
      <c r="H404" s="4">
        <v>0</v>
      </c>
      <c r="I404">
        <v>3</v>
      </c>
      <c r="J404">
        <v>-1591</v>
      </c>
      <c r="K404">
        <v>0</v>
      </c>
      <c r="L404">
        <v>0</v>
      </c>
      <c r="M404">
        <v>0</v>
      </c>
      <c r="N404">
        <v>0</v>
      </c>
      <c r="O404" t="str">
        <f t="shared" si="19"/>
        <v>A</v>
      </c>
      <c r="P404" t="str">
        <f t="shared" si="20"/>
        <v>G</v>
      </c>
      <c r="Q404">
        <f>IF(M404=0,0,VLOOKUP(M404,'aa codes'!$A$1:'aa codes'!$B$21,2))</f>
        <v>0</v>
      </c>
      <c r="R404">
        <f>IF(N404=0,0,VLOOKUP(N404,'aa codes'!$A$1:'aa codes'!$B$21,2))</f>
        <v>0</v>
      </c>
      <c r="S404" s="1">
        <v>4.6728971999999997E-3</v>
      </c>
      <c r="T404" s="1">
        <v>7.0921985800000004E-3</v>
      </c>
    </row>
    <row r="405" spans="1:20">
      <c r="A405">
        <v>9</v>
      </c>
      <c r="B405">
        <v>135805931</v>
      </c>
      <c r="C405" t="str">
        <f t="shared" si="18"/>
        <v>9:135805931</v>
      </c>
      <c r="D405">
        <v>4</v>
      </c>
      <c r="E405" s="1">
        <v>5.0000000000000001E-3</v>
      </c>
      <c r="F405">
        <v>1</v>
      </c>
      <c r="G405">
        <v>1</v>
      </c>
      <c r="H405" s="4">
        <v>0</v>
      </c>
      <c r="I405">
        <v>3</v>
      </c>
      <c r="J405">
        <v>-1592</v>
      </c>
      <c r="K405">
        <v>0</v>
      </c>
      <c r="L405">
        <v>0</v>
      </c>
      <c r="M405">
        <v>0</v>
      </c>
      <c r="N405">
        <v>0</v>
      </c>
      <c r="O405" t="str">
        <f t="shared" si="19"/>
        <v>T</v>
      </c>
      <c r="P405" t="str">
        <f t="shared" si="20"/>
        <v>A</v>
      </c>
      <c r="Q405">
        <f>IF(M405=0,0,VLOOKUP(M405,'aa codes'!$A$1:'aa codes'!$B$21,2))</f>
        <v>0</v>
      </c>
      <c r="R405">
        <f>IF(N405=0,0,VLOOKUP(N405,'aa codes'!$A$1:'aa codes'!$B$21,2))</f>
        <v>0</v>
      </c>
      <c r="S405" s="1">
        <v>5.0000000000000001E-3</v>
      </c>
      <c r="T405" s="1">
        <v>0</v>
      </c>
    </row>
    <row r="406" spans="1:20">
      <c r="A406">
        <v>9</v>
      </c>
      <c r="B406">
        <v>135805933</v>
      </c>
      <c r="C406" t="str">
        <f t="shared" si="18"/>
        <v>9:135805933</v>
      </c>
      <c r="D406">
        <v>3</v>
      </c>
      <c r="E406" s="1">
        <v>1.01010101E-2</v>
      </c>
      <c r="F406">
        <v>1</v>
      </c>
      <c r="G406">
        <v>1</v>
      </c>
      <c r="H406" s="4">
        <v>0</v>
      </c>
      <c r="I406">
        <v>3</v>
      </c>
      <c r="J406">
        <v>-1594</v>
      </c>
      <c r="K406">
        <v>0</v>
      </c>
      <c r="L406">
        <v>0</v>
      </c>
      <c r="M406">
        <v>0</v>
      </c>
      <c r="N406">
        <v>0</v>
      </c>
      <c r="O406" t="str">
        <f t="shared" si="19"/>
        <v>C</v>
      </c>
      <c r="P406" t="str">
        <f t="shared" si="20"/>
        <v>A</v>
      </c>
      <c r="Q406">
        <f>IF(M406=0,0,VLOOKUP(M406,'aa codes'!$A$1:'aa codes'!$B$21,2))</f>
        <v>0</v>
      </c>
      <c r="R406">
        <f>IF(N406=0,0,VLOOKUP(N406,'aa codes'!$A$1:'aa codes'!$B$21,2))</f>
        <v>0</v>
      </c>
      <c r="S406" s="1">
        <v>1.01010101E-2</v>
      </c>
      <c r="T406" s="1">
        <v>0</v>
      </c>
    </row>
    <row r="407" spans="1:20">
      <c r="A407">
        <v>9</v>
      </c>
      <c r="B407">
        <v>135805934</v>
      </c>
      <c r="C407" t="str">
        <f t="shared" si="18"/>
        <v>9:135805934</v>
      </c>
      <c r="D407">
        <v>3</v>
      </c>
      <c r="E407" s="1">
        <v>7.3529411800000001E-3</v>
      </c>
      <c r="F407">
        <v>4</v>
      </c>
      <c r="G407">
        <v>1</v>
      </c>
      <c r="H407" s="4">
        <v>0</v>
      </c>
      <c r="I407">
        <v>3</v>
      </c>
      <c r="J407">
        <v>-1595</v>
      </c>
      <c r="K407">
        <v>0</v>
      </c>
      <c r="L407">
        <v>0</v>
      </c>
      <c r="M407">
        <v>0</v>
      </c>
      <c r="N407">
        <v>0</v>
      </c>
      <c r="O407" t="str">
        <f t="shared" si="19"/>
        <v>C</v>
      </c>
      <c r="P407" t="str">
        <f t="shared" si="20"/>
        <v>T</v>
      </c>
      <c r="Q407">
        <f>IF(M407=0,0,VLOOKUP(M407,'aa codes'!$A$1:'aa codes'!$B$21,2))</f>
        <v>0</v>
      </c>
      <c r="R407">
        <f>IF(N407=0,0,VLOOKUP(N407,'aa codes'!$A$1:'aa codes'!$B$21,2))</f>
        <v>0</v>
      </c>
      <c r="S407" s="1">
        <v>0</v>
      </c>
      <c r="T407" s="1">
        <v>7.3529411800000001E-3</v>
      </c>
    </row>
    <row r="408" spans="1:20">
      <c r="A408">
        <v>9</v>
      </c>
      <c r="B408">
        <v>135805944</v>
      </c>
      <c r="C408" t="str">
        <f t="shared" si="18"/>
        <v>9:135805944</v>
      </c>
      <c r="D408">
        <v>4</v>
      </c>
      <c r="E408" s="1">
        <v>1.3392857100000001E-2</v>
      </c>
      <c r="F408">
        <v>3</v>
      </c>
      <c r="G408">
        <v>2</v>
      </c>
      <c r="H408" s="4">
        <v>0</v>
      </c>
      <c r="I408">
        <v>3</v>
      </c>
      <c r="J408">
        <v>-1605</v>
      </c>
      <c r="K408">
        <v>0</v>
      </c>
      <c r="L408">
        <v>0</v>
      </c>
      <c r="M408">
        <v>0</v>
      </c>
      <c r="N408">
        <v>0</v>
      </c>
      <c r="O408" t="str">
        <f t="shared" si="19"/>
        <v>T</v>
      </c>
      <c r="P408" t="str">
        <f t="shared" si="20"/>
        <v>C</v>
      </c>
      <c r="Q408">
        <f>IF(M408=0,0,VLOOKUP(M408,'aa codes'!$A$1:'aa codes'!$B$21,2))</f>
        <v>0</v>
      </c>
      <c r="R408">
        <f>IF(N408=0,0,VLOOKUP(N408,'aa codes'!$A$1:'aa codes'!$B$21,2))</f>
        <v>0</v>
      </c>
      <c r="S408" s="1">
        <v>1.3392857100000001E-2</v>
      </c>
      <c r="T408" s="1">
        <v>6.7114093999999999E-3</v>
      </c>
    </row>
    <row r="409" spans="1:20">
      <c r="A409">
        <v>9</v>
      </c>
      <c r="B409">
        <v>135805946</v>
      </c>
      <c r="C409" t="str">
        <f t="shared" si="18"/>
        <v>9:135805946</v>
      </c>
      <c r="D409">
        <v>2</v>
      </c>
      <c r="E409" s="1">
        <v>9.0497737599999992E-3</v>
      </c>
      <c r="F409">
        <v>1</v>
      </c>
      <c r="G409">
        <v>2</v>
      </c>
      <c r="H409" s="4">
        <v>0</v>
      </c>
      <c r="I409">
        <v>3</v>
      </c>
      <c r="J409">
        <v>-1607</v>
      </c>
      <c r="K409">
        <v>0</v>
      </c>
      <c r="L409">
        <v>0</v>
      </c>
      <c r="M409">
        <v>0</v>
      </c>
      <c r="N409">
        <v>0</v>
      </c>
      <c r="O409" t="str">
        <f t="shared" si="19"/>
        <v>G</v>
      </c>
      <c r="P409" t="str">
        <f t="shared" si="20"/>
        <v>A</v>
      </c>
      <c r="Q409">
        <f>IF(M409=0,0,VLOOKUP(M409,'aa codes'!$A$1:'aa codes'!$B$21,2))</f>
        <v>0</v>
      </c>
      <c r="R409">
        <f>IF(N409=0,0,VLOOKUP(N409,'aa codes'!$A$1:'aa codes'!$B$21,2))</f>
        <v>0</v>
      </c>
      <c r="S409" s="1">
        <v>9.0497737599999992E-3</v>
      </c>
      <c r="T409" s="1">
        <v>6.53594771E-3</v>
      </c>
    </row>
    <row r="410" spans="1:20">
      <c r="A410">
        <v>9</v>
      </c>
      <c r="B410">
        <v>135805949</v>
      </c>
      <c r="C410" t="str">
        <f t="shared" si="18"/>
        <v>9:135805949</v>
      </c>
      <c r="D410">
        <v>4</v>
      </c>
      <c r="E410" s="1">
        <v>6.0975609799999997E-3</v>
      </c>
      <c r="F410">
        <v>3</v>
      </c>
      <c r="G410">
        <v>1</v>
      </c>
      <c r="H410" s="4">
        <v>0</v>
      </c>
      <c r="I410">
        <v>3</v>
      </c>
      <c r="J410">
        <v>-1610</v>
      </c>
      <c r="K410">
        <v>0</v>
      </c>
      <c r="L410">
        <v>0</v>
      </c>
      <c r="M410">
        <v>0</v>
      </c>
      <c r="N410">
        <v>0</v>
      </c>
      <c r="O410" t="str">
        <f t="shared" si="19"/>
        <v>T</v>
      </c>
      <c r="P410" t="str">
        <f t="shared" si="20"/>
        <v>C</v>
      </c>
      <c r="Q410">
        <f>IF(M410=0,0,VLOOKUP(M410,'aa codes'!$A$1:'aa codes'!$B$21,2))</f>
        <v>0</v>
      </c>
      <c r="R410">
        <f>IF(N410=0,0,VLOOKUP(N410,'aa codes'!$A$1:'aa codes'!$B$21,2))</f>
        <v>0</v>
      </c>
      <c r="S410" s="1">
        <v>0</v>
      </c>
      <c r="T410" s="1">
        <v>6.0975609799999997E-3</v>
      </c>
    </row>
    <row r="411" spans="1:20">
      <c r="A411">
        <v>9</v>
      </c>
      <c r="B411">
        <v>135805954</v>
      </c>
      <c r="C411" t="str">
        <f t="shared" si="18"/>
        <v>9:135805954</v>
      </c>
      <c r="D411">
        <v>1</v>
      </c>
      <c r="E411" s="1">
        <v>5.4644808699999999E-3</v>
      </c>
      <c r="F411">
        <v>2</v>
      </c>
      <c r="G411">
        <v>1</v>
      </c>
      <c r="H411" s="4">
        <v>0</v>
      </c>
      <c r="I411">
        <v>3</v>
      </c>
      <c r="J411">
        <v>-1615</v>
      </c>
      <c r="K411">
        <v>0</v>
      </c>
      <c r="L411">
        <v>0</v>
      </c>
      <c r="M411">
        <v>0</v>
      </c>
      <c r="N411">
        <v>0</v>
      </c>
      <c r="O411" t="str">
        <f t="shared" si="19"/>
        <v>A</v>
      </c>
      <c r="P411" t="str">
        <f t="shared" si="20"/>
        <v>G</v>
      </c>
      <c r="Q411">
        <f>IF(M411=0,0,VLOOKUP(M411,'aa codes'!$A$1:'aa codes'!$B$21,2))</f>
        <v>0</v>
      </c>
      <c r="R411">
        <f>IF(N411=0,0,VLOOKUP(N411,'aa codes'!$A$1:'aa codes'!$B$21,2))</f>
        <v>0</v>
      </c>
      <c r="S411" s="1">
        <v>4.08163265E-3</v>
      </c>
      <c r="T411" s="1">
        <v>5.4644808699999999E-3</v>
      </c>
    </row>
    <row r="412" spans="1:20">
      <c r="A412">
        <v>9</v>
      </c>
      <c r="B412">
        <v>135805956</v>
      </c>
      <c r="C412" t="str">
        <f t="shared" si="18"/>
        <v>9:135805956</v>
      </c>
      <c r="D412">
        <v>3</v>
      </c>
      <c r="E412" s="1">
        <v>1.15606936E-2</v>
      </c>
      <c r="F412">
        <v>1</v>
      </c>
      <c r="G412">
        <v>2</v>
      </c>
      <c r="H412" s="4">
        <v>0</v>
      </c>
      <c r="I412">
        <v>3</v>
      </c>
      <c r="J412">
        <v>-1617</v>
      </c>
      <c r="K412">
        <v>0</v>
      </c>
      <c r="L412">
        <v>0</v>
      </c>
      <c r="M412">
        <v>0</v>
      </c>
      <c r="N412">
        <v>0</v>
      </c>
      <c r="O412" t="str">
        <f t="shared" si="19"/>
        <v>C</v>
      </c>
      <c r="P412" t="str">
        <f t="shared" si="20"/>
        <v>A</v>
      </c>
      <c r="Q412">
        <f>IF(M412=0,0,VLOOKUP(M412,'aa codes'!$A$1:'aa codes'!$B$21,2))</f>
        <v>0</v>
      </c>
      <c r="R412">
        <f>IF(N412=0,0,VLOOKUP(N412,'aa codes'!$A$1:'aa codes'!$B$21,2))</f>
        <v>0</v>
      </c>
      <c r="S412" s="1">
        <v>8.8888888900000001E-3</v>
      </c>
      <c r="T412" s="1">
        <v>1.15606936E-2</v>
      </c>
    </row>
    <row r="413" spans="1:20">
      <c r="A413">
        <v>9</v>
      </c>
      <c r="B413">
        <v>135805958</v>
      </c>
      <c r="C413" t="str">
        <f t="shared" si="18"/>
        <v>9:135805958</v>
      </c>
      <c r="D413">
        <v>1</v>
      </c>
      <c r="E413" s="1">
        <v>8.0000000000000002E-3</v>
      </c>
      <c r="F413">
        <v>2</v>
      </c>
      <c r="G413">
        <v>2</v>
      </c>
      <c r="H413" s="4">
        <v>0</v>
      </c>
      <c r="I413">
        <v>3</v>
      </c>
      <c r="J413">
        <v>-1619</v>
      </c>
      <c r="K413">
        <v>0</v>
      </c>
      <c r="L413">
        <v>0</v>
      </c>
      <c r="M413">
        <v>0</v>
      </c>
      <c r="N413">
        <v>0</v>
      </c>
      <c r="O413" t="str">
        <f t="shared" si="19"/>
        <v>A</v>
      </c>
      <c r="P413" t="str">
        <f t="shared" si="20"/>
        <v>G</v>
      </c>
      <c r="Q413">
        <f>IF(M413=0,0,VLOOKUP(M413,'aa codes'!$A$1:'aa codes'!$B$21,2))</f>
        <v>0</v>
      </c>
      <c r="R413">
        <f>IF(N413=0,0,VLOOKUP(N413,'aa codes'!$A$1:'aa codes'!$B$21,2))</f>
        <v>0</v>
      </c>
      <c r="S413" s="1">
        <v>8.0000000000000002E-3</v>
      </c>
      <c r="T413" s="1">
        <v>5.3763440900000004E-3</v>
      </c>
    </row>
    <row r="414" spans="1:20">
      <c r="A414">
        <v>9</v>
      </c>
      <c r="B414">
        <v>135805961</v>
      </c>
      <c r="C414" t="str">
        <f t="shared" si="18"/>
        <v>9:135805961</v>
      </c>
      <c r="D414">
        <v>3</v>
      </c>
      <c r="E414" s="1">
        <v>1.28755365E-2</v>
      </c>
      <c r="F414">
        <v>1</v>
      </c>
      <c r="G414">
        <v>2</v>
      </c>
      <c r="H414" s="4">
        <v>0</v>
      </c>
      <c r="I414">
        <v>3</v>
      </c>
      <c r="J414">
        <v>-1622</v>
      </c>
      <c r="K414">
        <v>0</v>
      </c>
      <c r="L414">
        <v>0</v>
      </c>
      <c r="M414">
        <v>0</v>
      </c>
      <c r="N414">
        <v>0</v>
      </c>
      <c r="O414" t="str">
        <f t="shared" si="19"/>
        <v>C</v>
      </c>
      <c r="P414" t="str">
        <f t="shared" si="20"/>
        <v>A</v>
      </c>
      <c r="Q414">
        <f>IF(M414=0,0,VLOOKUP(M414,'aa codes'!$A$1:'aa codes'!$B$21,2))</f>
        <v>0</v>
      </c>
      <c r="R414">
        <f>IF(N414=0,0,VLOOKUP(N414,'aa codes'!$A$1:'aa codes'!$B$21,2))</f>
        <v>0</v>
      </c>
      <c r="S414" s="1">
        <v>1.28755365E-2</v>
      </c>
      <c r="T414" s="1">
        <v>5.7803468199999998E-3</v>
      </c>
    </row>
    <row r="415" spans="1:20">
      <c r="A415">
        <v>9</v>
      </c>
      <c r="B415">
        <v>135805968</v>
      </c>
      <c r="C415" t="str">
        <f t="shared" si="18"/>
        <v>9:135805968</v>
      </c>
      <c r="D415">
        <v>3</v>
      </c>
      <c r="E415" s="1">
        <v>8.3333333299999996E-3</v>
      </c>
      <c r="F415">
        <v>4</v>
      </c>
      <c r="G415">
        <v>1</v>
      </c>
      <c r="H415" s="4">
        <v>0</v>
      </c>
      <c r="I415">
        <v>3</v>
      </c>
      <c r="J415">
        <v>-1629</v>
      </c>
      <c r="K415">
        <v>0</v>
      </c>
      <c r="L415">
        <v>0</v>
      </c>
      <c r="M415">
        <v>0</v>
      </c>
      <c r="N415">
        <v>0</v>
      </c>
      <c r="O415" t="str">
        <f t="shared" si="19"/>
        <v>C</v>
      </c>
      <c r="P415" t="str">
        <f t="shared" si="20"/>
        <v>T</v>
      </c>
      <c r="Q415">
        <f>IF(M415=0,0,VLOOKUP(M415,'aa codes'!$A$1:'aa codes'!$B$21,2))</f>
        <v>0</v>
      </c>
      <c r="R415">
        <f>IF(N415=0,0,VLOOKUP(N415,'aa codes'!$A$1:'aa codes'!$B$21,2))</f>
        <v>0</v>
      </c>
      <c r="S415" s="1">
        <v>8.3333333299999996E-3</v>
      </c>
      <c r="T415" s="1">
        <v>0</v>
      </c>
    </row>
    <row r="416" spans="1:20">
      <c r="A416">
        <v>9</v>
      </c>
      <c r="B416">
        <v>135805969</v>
      </c>
      <c r="C416" t="str">
        <f t="shared" si="18"/>
        <v>9:135805969</v>
      </c>
      <c r="D416">
        <v>4</v>
      </c>
      <c r="E416" s="1">
        <v>5.49450549E-3</v>
      </c>
      <c r="F416">
        <v>3</v>
      </c>
      <c r="G416">
        <v>1</v>
      </c>
      <c r="H416" s="4">
        <v>0</v>
      </c>
      <c r="I416">
        <v>3</v>
      </c>
      <c r="J416">
        <v>-1630</v>
      </c>
      <c r="K416">
        <v>0</v>
      </c>
      <c r="L416">
        <v>0</v>
      </c>
      <c r="M416">
        <v>0</v>
      </c>
      <c r="N416">
        <v>0</v>
      </c>
      <c r="O416" t="str">
        <f t="shared" si="19"/>
        <v>T</v>
      </c>
      <c r="P416" t="str">
        <f t="shared" si="20"/>
        <v>C</v>
      </c>
      <c r="Q416">
        <f>IF(M416=0,0,VLOOKUP(M416,'aa codes'!$A$1:'aa codes'!$B$21,2))</f>
        <v>0</v>
      </c>
      <c r="R416">
        <f>IF(N416=0,0,VLOOKUP(N416,'aa codes'!$A$1:'aa codes'!$B$21,2))</f>
        <v>0</v>
      </c>
      <c r="S416" s="1">
        <v>0</v>
      </c>
      <c r="T416" s="1">
        <v>5.49450549E-3</v>
      </c>
    </row>
    <row r="417" spans="1:20">
      <c r="A417">
        <v>9</v>
      </c>
      <c r="B417">
        <v>135805972</v>
      </c>
      <c r="C417" t="str">
        <f t="shared" si="18"/>
        <v>9:135805972</v>
      </c>
      <c r="D417">
        <v>3</v>
      </c>
      <c r="E417" s="1">
        <v>7.1942446E-3</v>
      </c>
      <c r="F417">
        <v>1</v>
      </c>
      <c r="G417">
        <v>1</v>
      </c>
      <c r="H417" s="4">
        <v>0</v>
      </c>
      <c r="I417">
        <v>3</v>
      </c>
      <c r="J417">
        <v>-1633</v>
      </c>
      <c r="K417">
        <v>0</v>
      </c>
      <c r="L417">
        <v>0</v>
      </c>
      <c r="M417">
        <v>0</v>
      </c>
      <c r="N417">
        <v>0</v>
      </c>
      <c r="O417" t="str">
        <f t="shared" si="19"/>
        <v>C</v>
      </c>
      <c r="P417" t="str">
        <f t="shared" si="20"/>
        <v>A</v>
      </c>
      <c r="Q417">
        <f>IF(M417=0,0,VLOOKUP(M417,'aa codes'!$A$1:'aa codes'!$B$21,2))</f>
        <v>0</v>
      </c>
      <c r="R417">
        <f>IF(N417=0,0,VLOOKUP(N417,'aa codes'!$A$1:'aa codes'!$B$21,2))</f>
        <v>0</v>
      </c>
      <c r="S417" s="1">
        <v>7.1942446E-3</v>
      </c>
      <c r="T417" s="1">
        <v>0</v>
      </c>
    </row>
    <row r="418" spans="1:20">
      <c r="A418">
        <v>9</v>
      </c>
      <c r="B418">
        <v>135805973</v>
      </c>
      <c r="C418" t="str">
        <f t="shared" si="18"/>
        <v>9:135805973</v>
      </c>
      <c r="D418">
        <v>4</v>
      </c>
      <c r="E418" s="1">
        <v>1.5810276700000001E-2</v>
      </c>
      <c r="F418">
        <v>1</v>
      </c>
      <c r="G418">
        <v>2</v>
      </c>
      <c r="H418" s="4">
        <v>0</v>
      </c>
      <c r="I418">
        <v>3</v>
      </c>
      <c r="J418">
        <v>-1634</v>
      </c>
      <c r="K418">
        <v>0</v>
      </c>
      <c r="L418">
        <v>0</v>
      </c>
      <c r="M418">
        <v>0</v>
      </c>
      <c r="N418">
        <v>0</v>
      </c>
      <c r="O418" t="str">
        <f t="shared" si="19"/>
        <v>T</v>
      </c>
      <c r="P418" t="str">
        <f t="shared" si="20"/>
        <v>A</v>
      </c>
      <c r="Q418">
        <f>IF(M418=0,0,VLOOKUP(M418,'aa codes'!$A$1:'aa codes'!$B$21,2))</f>
        <v>0</v>
      </c>
      <c r="R418">
        <f>IF(N418=0,0,VLOOKUP(N418,'aa codes'!$A$1:'aa codes'!$B$21,2))</f>
        <v>0</v>
      </c>
      <c r="S418" s="1">
        <v>1.5810276700000001E-2</v>
      </c>
      <c r="T418" s="1">
        <v>9.0497737599999992E-3</v>
      </c>
    </row>
    <row r="419" spans="1:20">
      <c r="A419">
        <v>9</v>
      </c>
      <c r="B419">
        <v>135805974</v>
      </c>
      <c r="C419" t="str">
        <f t="shared" si="18"/>
        <v>9:135805974</v>
      </c>
      <c r="D419">
        <v>3</v>
      </c>
      <c r="E419" s="1">
        <v>3.62537764E-2</v>
      </c>
      <c r="F419">
        <v>1</v>
      </c>
      <c r="G419">
        <v>2</v>
      </c>
      <c r="H419" s="4">
        <v>0</v>
      </c>
      <c r="I419">
        <v>3</v>
      </c>
      <c r="J419">
        <v>-1635</v>
      </c>
      <c r="K419">
        <v>0</v>
      </c>
      <c r="L419">
        <v>0</v>
      </c>
      <c r="M419">
        <v>0</v>
      </c>
      <c r="N419">
        <v>0</v>
      </c>
      <c r="O419" t="str">
        <f t="shared" si="19"/>
        <v>C</v>
      </c>
      <c r="P419" t="str">
        <f t="shared" si="20"/>
        <v>A</v>
      </c>
      <c r="Q419">
        <f>IF(M419=0,0,VLOOKUP(M419,'aa codes'!$A$1:'aa codes'!$B$21,2))</f>
        <v>0</v>
      </c>
      <c r="R419">
        <f>IF(N419=0,0,VLOOKUP(N419,'aa codes'!$A$1:'aa codes'!$B$21,2))</f>
        <v>0</v>
      </c>
      <c r="S419" s="1">
        <v>3.5616438399999999E-2</v>
      </c>
      <c r="T419" s="1">
        <v>3.62537764E-2</v>
      </c>
    </row>
    <row r="420" spans="1:20">
      <c r="A420">
        <v>9</v>
      </c>
      <c r="B420">
        <v>135805975</v>
      </c>
      <c r="C420" t="str">
        <f t="shared" si="18"/>
        <v>9:135805975</v>
      </c>
      <c r="D420">
        <v>1</v>
      </c>
      <c r="E420" s="1">
        <v>7.9051383399999994E-3</v>
      </c>
      <c r="F420">
        <v>3</v>
      </c>
      <c r="G420">
        <v>2</v>
      </c>
      <c r="H420" s="4">
        <v>0</v>
      </c>
      <c r="I420">
        <v>3</v>
      </c>
      <c r="J420">
        <v>-1636</v>
      </c>
      <c r="K420">
        <v>0</v>
      </c>
      <c r="L420">
        <v>0</v>
      </c>
      <c r="M420">
        <v>0</v>
      </c>
      <c r="N420">
        <v>0</v>
      </c>
      <c r="O420" t="str">
        <f t="shared" si="19"/>
        <v>A</v>
      </c>
      <c r="P420" t="str">
        <f t="shared" si="20"/>
        <v>C</v>
      </c>
      <c r="Q420">
        <f>IF(M420=0,0,VLOOKUP(M420,'aa codes'!$A$1:'aa codes'!$B$21,2))</f>
        <v>0</v>
      </c>
      <c r="R420">
        <f>IF(N420=0,0,VLOOKUP(N420,'aa codes'!$A$1:'aa codes'!$B$21,2))</f>
        <v>0</v>
      </c>
      <c r="S420" s="1">
        <v>6.4308681700000004E-3</v>
      </c>
      <c r="T420" s="1">
        <v>7.9051383399999994E-3</v>
      </c>
    </row>
    <row r="421" spans="1:20">
      <c r="A421">
        <v>9</v>
      </c>
      <c r="B421">
        <v>135805976</v>
      </c>
      <c r="C421" t="str">
        <f t="shared" si="18"/>
        <v>9:135805976</v>
      </c>
      <c r="D421">
        <v>1</v>
      </c>
      <c r="E421" s="1">
        <v>2.13523132E-2</v>
      </c>
      <c r="F421">
        <v>3</v>
      </c>
      <c r="G421">
        <v>2</v>
      </c>
      <c r="H421" s="4">
        <v>0</v>
      </c>
      <c r="I421">
        <v>3</v>
      </c>
      <c r="J421">
        <v>-1637</v>
      </c>
      <c r="K421">
        <v>0</v>
      </c>
      <c r="L421">
        <v>0</v>
      </c>
      <c r="M421">
        <v>0</v>
      </c>
      <c r="N421">
        <v>0</v>
      </c>
      <c r="O421" t="str">
        <f t="shared" si="19"/>
        <v>A</v>
      </c>
      <c r="P421" t="str">
        <f t="shared" si="20"/>
        <v>C</v>
      </c>
      <c r="Q421">
        <f>IF(M421=0,0,VLOOKUP(M421,'aa codes'!$A$1:'aa codes'!$B$21,2))</f>
        <v>0</v>
      </c>
      <c r="R421">
        <f>IF(N421=0,0,VLOOKUP(N421,'aa codes'!$A$1:'aa codes'!$B$21,2))</f>
        <v>0</v>
      </c>
      <c r="S421" s="1">
        <v>8.8495575200000006E-3</v>
      </c>
      <c r="T421" s="1">
        <v>2.13523132E-2</v>
      </c>
    </row>
    <row r="422" spans="1:20">
      <c r="A422">
        <v>9</v>
      </c>
      <c r="B422">
        <v>135805977</v>
      </c>
      <c r="C422" t="str">
        <f t="shared" si="18"/>
        <v>9:135805977</v>
      </c>
      <c r="D422">
        <v>1</v>
      </c>
      <c r="E422" s="1">
        <v>8.5227272700000006E-3</v>
      </c>
      <c r="F422">
        <v>3</v>
      </c>
      <c r="G422">
        <v>2</v>
      </c>
      <c r="H422" s="4">
        <v>0</v>
      </c>
      <c r="I422">
        <v>3</v>
      </c>
      <c r="J422">
        <v>-1638</v>
      </c>
      <c r="K422">
        <v>0</v>
      </c>
      <c r="L422">
        <v>0</v>
      </c>
      <c r="M422">
        <v>0</v>
      </c>
      <c r="N422">
        <v>0</v>
      </c>
      <c r="O422" t="str">
        <f t="shared" si="19"/>
        <v>A</v>
      </c>
      <c r="P422" t="str">
        <f t="shared" si="20"/>
        <v>C</v>
      </c>
      <c r="Q422">
        <f>IF(M422=0,0,VLOOKUP(M422,'aa codes'!$A$1:'aa codes'!$B$21,2))</f>
        <v>0</v>
      </c>
      <c r="R422">
        <f>IF(N422=0,0,VLOOKUP(N422,'aa codes'!$A$1:'aa codes'!$B$21,2))</f>
        <v>0</v>
      </c>
      <c r="S422" s="1">
        <v>8.5227272700000006E-3</v>
      </c>
      <c r="T422" s="1">
        <v>6.6666666699999998E-3</v>
      </c>
    </row>
    <row r="423" spans="1:20">
      <c r="A423">
        <v>9</v>
      </c>
      <c r="B423">
        <v>135806000</v>
      </c>
      <c r="C423" t="str">
        <f t="shared" si="18"/>
        <v>9:135806000</v>
      </c>
      <c r="D423">
        <v>2</v>
      </c>
      <c r="E423" s="1">
        <v>9.0425531899999995E-2</v>
      </c>
      <c r="F423">
        <v>1</v>
      </c>
      <c r="G423">
        <v>2</v>
      </c>
      <c r="H423" s="4">
        <v>0</v>
      </c>
      <c r="I423">
        <v>3</v>
      </c>
      <c r="J423">
        <v>-1661</v>
      </c>
      <c r="K423">
        <v>0</v>
      </c>
      <c r="L423">
        <v>0</v>
      </c>
      <c r="M423">
        <v>0</v>
      </c>
      <c r="N423">
        <v>0</v>
      </c>
      <c r="O423" t="str">
        <f t="shared" si="19"/>
        <v>G</v>
      </c>
      <c r="P423" t="str">
        <f t="shared" si="20"/>
        <v>A</v>
      </c>
      <c r="Q423">
        <f>IF(M423=0,0,VLOOKUP(M423,'aa codes'!$A$1:'aa codes'!$B$21,2))</f>
        <v>0</v>
      </c>
      <c r="R423">
        <f>IF(N423=0,0,VLOOKUP(N423,'aa codes'!$A$1:'aa codes'!$B$21,2))</f>
        <v>0</v>
      </c>
      <c r="S423" s="1">
        <v>4.4164037900000001E-2</v>
      </c>
      <c r="T423" s="1">
        <v>9.0425531899999995E-2</v>
      </c>
    </row>
    <row r="424" spans="1:20">
      <c r="A424">
        <v>9</v>
      </c>
      <c r="B424">
        <v>135806001</v>
      </c>
      <c r="C424" t="str">
        <f t="shared" si="18"/>
        <v>9:135806001</v>
      </c>
      <c r="D424">
        <v>1</v>
      </c>
      <c r="E424" s="1">
        <v>5.1020408199999997E-3</v>
      </c>
      <c r="F424">
        <v>2</v>
      </c>
      <c r="G424">
        <v>1</v>
      </c>
      <c r="H424" s="4">
        <v>0</v>
      </c>
      <c r="I424">
        <v>3</v>
      </c>
      <c r="J424">
        <v>-1662</v>
      </c>
      <c r="K424">
        <v>0</v>
      </c>
      <c r="L424">
        <v>0</v>
      </c>
      <c r="M424">
        <v>0</v>
      </c>
      <c r="N424">
        <v>0</v>
      </c>
      <c r="O424" t="str">
        <f t="shared" si="19"/>
        <v>A</v>
      </c>
      <c r="P424" t="str">
        <f t="shared" si="20"/>
        <v>G</v>
      </c>
      <c r="Q424">
        <f>IF(M424=0,0,VLOOKUP(M424,'aa codes'!$A$1:'aa codes'!$B$21,2))</f>
        <v>0</v>
      </c>
      <c r="R424">
        <f>IF(N424=0,0,VLOOKUP(N424,'aa codes'!$A$1:'aa codes'!$B$21,2))</f>
        <v>0</v>
      </c>
      <c r="S424" s="1">
        <v>0</v>
      </c>
      <c r="T424" s="1">
        <v>5.1020408199999997E-3</v>
      </c>
    </row>
    <row r="425" spans="1:20">
      <c r="A425">
        <v>9</v>
      </c>
      <c r="B425">
        <v>135806002</v>
      </c>
      <c r="C425" t="str">
        <f t="shared" si="18"/>
        <v>9:135806002</v>
      </c>
      <c r="D425">
        <v>2</v>
      </c>
      <c r="E425" s="1">
        <v>2.3809523799999999E-2</v>
      </c>
      <c r="F425">
        <v>1</v>
      </c>
      <c r="G425">
        <v>2</v>
      </c>
      <c r="H425" s="4">
        <v>0</v>
      </c>
      <c r="I425">
        <v>3</v>
      </c>
      <c r="J425">
        <v>-1663</v>
      </c>
      <c r="K425">
        <v>0</v>
      </c>
      <c r="L425">
        <v>0</v>
      </c>
      <c r="M425">
        <v>0</v>
      </c>
      <c r="N425">
        <v>0</v>
      </c>
      <c r="O425" t="str">
        <f t="shared" si="19"/>
        <v>G</v>
      </c>
      <c r="P425" t="str">
        <f t="shared" si="20"/>
        <v>A</v>
      </c>
      <c r="Q425">
        <f>IF(M425=0,0,VLOOKUP(M425,'aa codes'!$A$1:'aa codes'!$B$21,2))</f>
        <v>0</v>
      </c>
      <c r="R425">
        <f>IF(N425=0,0,VLOOKUP(N425,'aa codes'!$A$1:'aa codes'!$B$21,2))</f>
        <v>0</v>
      </c>
      <c r="S425" s="1">
        <v>2.3809523799999999E-2</v>
      </c>
      <c r="T425" s="1">
        <v>1.6666666699999999E-2</v>
      </c>
    </row>
    <row r="426" spans="1:20">
      <c r="A426">
        <v>9</v>
      </c>
      <c r="B426">
        <v>135806004</v>
      </c>
      <c r="C426" t="str">
        <f t="shared" si="18"/>
        <v>9:135806004</v>
      </c>
      <c r="D426">
        <v>2</v>
      </c>
      <c r="E426" s="1">
        <v>1.44927536E-2</v>
      </c>
      <c r="F426">
        <v>1</v>
      </c>
      <c r="G426">
        <v>2</v>
      </c>
      <c r="H426" s="4">
        <v>0</v>
      </c>
      <c r="I426">
        <v>3</v>
      </c>
      <c r="J426">
        <v>-1665</v>
      </c>
      <c r="K426">
        <v>0</v>
      </c>
      <c r="L426">
        <v>0</v>
      </c>
      <c r="M426">
        <v>0</v>
      </c>
      <c r="N426">
        <v>0</v>
      </c>
      <c r="O426" t="str">
        <f t="shared" si="19"/>
        <v>G</v>
      </c>
      <c r="P426" t="str">
        <f t="shared" si="20"/>
        <v>A</v>
      </c>
      <c r="Q426">
        <f>IF(M426=0,0,VLOOKUP(M426,'aa codes'!$A$1:'aa codes'!$B$21,2))</f>
        <v>0</v>
      </c>
      <c r="R426">
        <f>IF(N426=0,0,VLOOKUP(N426,'aa codes'!$A$1:'aa codes'!$B$21,2))</f>
        <v>0</v>
      </c>
      <c r="S426" s="1">
        <v>1.44927536E-2</v>
      </c>
      <c r="T426" s="1">
        <v>1.0810810800000001E-2</v>
      </c>
    </row>
    <row r="427" spans="1:20">
      <c r="A427">
        <v>9</v>
      </c>
      <c r="B427">
        <v>135806006</v>
      </c>
      <c r="C427" t="str">
        <f t="shared" si="18"/>
        <v>9:135806006</v>
      </c>
      <c r="D427">
        <v>2</v>
      </c>
      <c r="E427" s="1">
        <v>1.6042780699999998E-2</v>
      </c>
      <c r="F427">
        <v>1</v>
      </c>
      <c r="G427">
        <v>2</v>
      </c>
      <c r="H427" s="4">
        <v>0</v>
      </c>
      <c r="I427">
        <v>3</v>
      </c>
      <c r="J427">
        <v>-1667</v>
      </c>
      <c r="K427">
        <v>0</v>
      </c>
      <c r="L427">
        <v>0</v>
      </c>
      <c r="M427">
        <v>0</v>
      </c>
      <c r="N427">
        <v>0</v>
      </c>
      <c r="O427" t="str">
        <f t="shared" si="19"/>
        <v>G</v>
      </c>
      <c r="P427" t="str">
        <f t="shared" si="20"/>
        <v>A</v>
      </c>
      <c r="Q427">
        <f>IF(M427=0,0,VLOOKUP(M427,'aa codes'!$A$1:'aa codes'!$B$21,2))</f>
        <v>0</v>
      </c>
      <c r="R427">
        <f>IF(N427=0,0,VLOOKUP(N427,'aa codes'!$A$1:'aa codes'!$B$21,2))</f>
        <v>0</v>
      </c>
      <c r="S427" s="1">
        <v>8.5470085500000004E-3</v>
      </c>
      <c r="T427" s="1">
        <v>1.6042780699999998E-2</v>
      </c>
    </row>
    <row r="428" spans="1:20">
      <c r="A428">
        <v>9</v>
      </c>
      <c r="B428">
        <v>135806008</v>
      </c>
      <c r="C428" t="str">
        <f t="shared" si="18"/>
        <v>9:135806008</v>
      </c>
      <c r="D428">
        <v>4</v>
      </c>
      <c r="E428" s="1">
        <v>7.5757575800000004E-2</v>
      </c>
      <c r="F428">
        <v>1</v>
      </c>
      <c r="G428">
        <v>2</v>
      </c>
      <c r="H428" s="4">
        <v>0</v>
      </c>
      <c r="I428">
        <v>3</v>
      </c>
      <c r="J428">
        <v>-1669</v>
      </c>
      <c r="K428">
        <v>0</v>
      </c>
      <c r="L428">
        <v>0</v>
      </c>
      <c r="M428">
        <v>0</v>
      </c>
      <c r="N428">
        <v>0</v>
      </c>
      <c r="O428" t="str">
        <f t="shared" si="19"/>
        <v>T</v>
      </c>
      <c r="P428" t="str">
        <f t="shared" si="20"/>
        <v>A</v>
      </c>
      <c r="Q428">
        <f>IF(M428=0,0,VLOOKUP(M428,'aa codes'!$A$1:'aa codes'!$B$21,2))</f>
        <v>0</v>
      </c>
      <c r="R428">
        <f>IF(N428=0,0,VLOOKUP(N428,'aa codes'!$A$1:'aa codes'!$B$21,2))</f>
        <v>0</v>
      </c>
      <c r="S428" s="1">
        <v>6.2015503899999998E-2</v>
      </c>
      <c r="T428" s="1">
        <v>7.5757575800000004E-2</v>
      </c>
    </row>
    <row r="429" spans="1:20">
      <c r="A429">
        <v>9</v>
      </c>
      <c r="B429">
        <v>135806011</v>
      </c>
      <c r="C429" t="str">
        <f t="shared" si="18"/>
        <v>9:135806011</v>
      </c>
      <c r="D429">
        <v>2</v>
      </c>
      <c r="E429" s="1">
        <v>3.1963470299999998E-2</v>
      </c>
      <c r="F429">
        <v>1</v>
      </c>
      <c r="G429">
        <v>2</v>
      </c>
      <c r="H429" s="4">
        <v>0</v>
      </c>
      <c r="I429">
        <v>3</v>
      </c>
      <c r="J429">
        <v>-1672</v>
      </c>
      <c r="K429">
        <v>0</v>
      </c>
      <c r="L429">
        <v>0</v>
      </c>
      <c r="M429">
        <v>0</v>
      </c>
      <c r="N429">
        <v>0</v>
      </c>
      <c r="O429" t="str">
        <f t="shared" si="19"/>
        <v>G</v>
      </c>
      <c r="P429" t="str">
        <f t="shared" si="20"/>
        <v>A</v>
      </c>
      <c r="Q429">
        <f>IF(M429=0,0,VLOOKUP(M429,'aa codes'!$A$1:'aa codes'!$B$21,2))</f>
        <v>0</v>
      </c>
      <c r="R429">
        <f>IF(N429=0,0,VLOOKUP(N429,'aa codes'!$A$1:'aa codes'!$B$21,2))</f>
        <v>0</v>
      </c>
      <c r="S429" s="1">
        <v>3.1963470299999998E-2</v>
      </c>
      <c r="T429" s="1">
        <v>2.96610169E-2</v>
      </c>
    </row>
    <row r="430" spans="1:20">
      <c r="A430">
        <v>9</v>
      </c>
      <c r="B430">
        <v>135806013</v>
      </c>
      <c r="C430" t="str">
        <f t="shared" si="18"/>
        <v>9:135806013</v>
      </c>
      <c r="D430">
        <v>4</v>
      </c>
      <c r="E430" s="1">
        <v>1.0660980800000001E-2</v>
      </c>
      <c r="F430">
        <v>3</v>
      </c>
      <c r="G430">
        <v>1</v>
      </c>
      <c r="H430" s="4">
        <v>0</v>
      </c>
      <c r="I430">
        <v>3</v>
      </c>
      <c r="J430">
        <v>-1674</v>
      </c>
      <c r="K430">
        <v>0</v>
      </c>
      <c r="L430">
        <v>0</v>
      </c>
      <c r="M430">
        <v>0</v>
      </c>
      <c r="N430">
        <v>0</v>
      </c>
      <c r="O430" t="str">
        <f t="shared" si="19"/>
        <v>T</v>
      </c>
      <c r="P430" t="str">
        <f t="shared" si="20"/>
        <v>C</v>
      </c>
      <c r="Q430">
        <f>IF(M430=0,0,VLOOKUP(M430,'aa codes'!$A$1:'aa codes'!$B$21,2))</f>
        <v>0</v>
      </c>
      <c r="R430">
        <f>IF(N430=0,0,VLOOKUP(N430,'aa codes'!$A$1:'aa codes'!$B$21,2))</f>
        <v>0</v>
      </c>
      <c r="S430" s="1">
        <v>1.0660980800000001E-2</v>
      </c>
      <c r="T430" s="1">
        <v>0</v>
      </c>
    </row>
    <row r="431" spans="1:20">
      <c r="A431">
        <v>9</v>
      </c>
      <c r="B431">
        <v>135806015</v>
      </c>
      <c r="C431" t="str">
        <f t="shared" si="18"/>
        <v>9:135806015</v>
      </c>
      <c r="D431">
        <v>3</v>
      </c>
      <c r="E431" s="1">
        <v>1.04166667E-2</v>
      </c>
      <c r="F431">
        <v>4</v>
      </c>
      <c r="G431">
        <v>2</v>
      </c>
      <c r="H431" s="4">
        <v>0</v>
      </c>
      <c r="I431">
        <v>3</v>
      </c>
      <c r="J431">
        <v>-1676</v>
      </c>
      <c r="K431">
        <v>0</v>
      </c>
      <c r="L431">
        <v>0</v>
      </c>
      <c r="M431">
        <v>0</v>
      </c>
      <c r="N431">
        <v>0</v>
      </c>
      <c r="O431" t="str">
        <f t="shared" si="19"/>
        <v>C</v>
      </c>
      <c r="P431" t="str">
        <f t="shared" si="20"/>
        <v>T</v>
      </c>
      <c r="Q431">
        <f>IF(M431=0,0,VLOOKUP(M431,'aa codes'!$A$1:'aa codes'!$B$21,2))</f>
        <v>0</v>
      </c>
      <c r="R431">
        <f>IF(N431=0,0,VLOOKUP(N431,'aa codes'!$A$1:'aa codes'!$B$21,2))</f>
        <v>0</v>
      </c>
      <c r="S431" s="1">
        <v>8.4033613400000002E-3</v>
      </c>
      <c r="T431" s="1">
        <v>1.04166667E-2</v>
      </c>
    </row>
    <row r="432" spans="1:20">
      <c r="A432">
        <v>9</v>
      </c>
      <c r="B432">
        <v>135806018</v>
      </c>
      <c r="C432" t="str">
        <f t="shared" si="18"/>
        <v>9:135806018</v>
      </c>
      <c r="D432">
        <v>3</v>
      </c>
      <c r="E432" s="1">
        <v>8.5836909900000001E-3</v>
      </c>
      <c r="F432">
        <v>4</v>
      </c>
      <c r="G432">
        <v>2</v>
      </c>
      <c r="H432" s="4">
        <v>0</v>
      </c>
      <c r="I432">
        <v>3</v>
      </c>
      <c r="J432">
        <v>-1679</v>
      </c>
      <c r="K432">
        <v>0</v>
      </c>
      <c r="L432">
        <v>0</v>
      </c>
      <c r="M432">
        <v>0</v>
      </c>
      <c r="N432">
        <v>0</v>
      </c>
      <c r="O432" t="str">
        <f t="shared" si="19"/>
        <v>C</v>
      </c>
      <c r="P432" t="str">
        <f t="shared" si="20"/>
        <v>T</v>
      </c>
      <c r="Q432">
        <f>IF(M432=0,0,VLOOKUP(M432,'aa codes'!$A$1:'aa codes'!$B$21,2))</f>
        <v>0</v>
      </c>
      <c r="R432">
        <f>IF(N432=0,0,VLOOKUP(N432,'aa codes'!$A$1:'aa codes'!$B$21,2))</f>
        <v>0</v>
      </c>
      <c r="S432" s="1">
        <v>8.5836909900000001E-3</v>
      </c>
      <c r="T432" s="1">
        <v>7.0921985800000004E-3</v>
      </c>
    </row>
    <row r="433" spans="1:20">
      <c r="A433">
        <v>9</v>
      </c>
      <c r="B433">
        <v>135806020</v>
      </c>
      <c r="C433" t="str">
        <f t="shared" si="18"/>
        <v>9:135806020</v>
      </c>
      <c r="D433">
        <v>2</v>
      </c>
      <c r="E433" s="1">
        <v>1.48367953E-2</v>
      </c>
      <c r="F433">
        <v>4</v>
      </c>
      <c r="G433">
        <v>2</v>
      </c>
      <c r="H433" s="4">
        <v>0</v>
      </c>
      <c r="I433">
        <v>3</v>
      </c>
      <c r="J433">
        <v>-1681</v>
      </c>
      <c r="K433">
        <v>0</v>
      </c>
      <c r="L433">
        <v>0</v>
      </c>
      <c r="M433">
        <v>0</v>
      </c>
      <c r="N433">
        <v>0</v>
      </c>
      <c r="O433" t="str">
        <f t="shared" si="19"/>
        <v>G</v>
      </c>
      <c r="P433" t="str">
        <f t="shared" si="20"/>
        <v>T</v>
      </c>
      <c r="Q433">
        <f>IF(M433=0,0,VLOOKUP(M433,'aa codes'!$A$1:'aa codes'!$B$21,2))</f>
        <v>0</v>
      </c>
      <c r="R433">
        <f>IF(N433=0,0,VLOOKUP(N433,'aa codes'!$A$1:'aa codes'!$B$21,2))</f>
        <v>0</v>
      </c>
      <c r="S433" s="1">
        <v>5.859375E-3</v>
      </c>
      <c r="T433" s="1">
        <v>1.48367953E-2</v>
      </c>
    </row>
    <row r="434" spans="1:20">
      <c r="A434">
        <v>9</v>
      </c>
      <c r="B434">
        <v>135806021</v>
      </c>
      <c r="C434" t="str">
        <f t="shared" si="18"/>
        <v>9:135806021</v>
      </c>
      <c r="D434">
        <v>3</v>
      </c>
      <c r="E434" s="1">
        <v>2.0325203300000001E-2</v>
      </c>
      <c r="F434">
        <v>1</v>
      </c>
      <c r="G434">
        <v>2</v>
      </c>
      <c r="H434" s="4">
        <v>0</v>
      </c>
      <c r="I434">
        <v>3</v>
      </c>
      <c r="J434">
        <v>-1682</v>
      </c>
      <c r="K434">
        <v>0</v>
      </c>
      <c r="L434">
        <v>0</v>
      </c>
      <c r="M434">
        <v>0</v>
      </c>
      <c r="N434">
        <v>0</v>
      </c>
      <c r="O434" t="str">
        <f t="shared" si="19"/>
        <v>C</v>
      </c>
      <c r="P434" t="str">
        <f t="shared" si="20"/>
        <v>A</v>
      </c>
      <c r="Q434">
        <f>IF(M434=0,0,VLOOKUP(M434,'aa codes'!$A$1:'aa codes'!$B$21,2))</f>
        <v>0</v>
      </c>
      <c r="R434">
        <f>IF(N434=0,0,VLOOKUP(N434,'aa codes'!$A$1:'aa codes'!$B$21,2))</f>
        <v>0</v>
      </c>
      <c r="S434" s="1">
        <v>2.0325203300000001E-2</v>
      </c>
      <c r="T434" s="1">
        <v>6.0975609799999997E-3</v>
      </c>
    </row>
    <row r="435" spans="1:20">
      <c r="A435">
        <v>9</v>
      </c>
      <c r="B435">
        <v>135806024</v>
      </c>
      <c r="C435" t="str">
        <f t="shared" si="18"/>
        <v>9:135806024</v>
      </c>
      <c r="D435">
        <v>2</v>
      </c>
      <c r="E435" s="1">
        <v>6.8548387099999997E-2</v>
      </c>
      <c r="F435">
        <v>1</v>
      </c>
      <c r="G435">
        <v>2</v>
      </c>
      <c r="H435" s="4">
        <v>0</v>
      </c>
      <c r="I435">
        <v>3</v>
      </c>
      <c r="J435">
        <v>-1685</v>
      </c>
      <c r="K435">
        <v>0</v>
      </c>
      <c r="L435">
        <v>0</v>
      </c>
      <c r="M435">
        <v>0</v>
      </c>
      <c r="N435">
        <v>0</v>
      </c>
      <c r="O435" t="str">
        <f t="shared" si="19"/>
        <v>G</v>
      </c>
      <c r="P435" t="str">
        <f t="shared" si="20"/>
        <v>A</v>
      </c>
      <c r="Q435">
        <f>IF(M435=0,0,VLOOKUP(M435,'aa codes'!$A$1:'aa codes'!$B$21,2))</f>
        <v>0</v>
      </c>
      <c r="R435">
        <f>IF(N435=0,0,VLOOKUP(N435,'aa codes'!$A$1:'aa codes'!$B$21,2))</f>
        <v>0</v>
      </c>
      <c r="S435" s="1">
        <v>6.8548387099999997E-2</v>
      </c>
      <c r="T435" s="1">
        <v>5.7228915700000001E-2</v>
      </c>
    </row>
    <row r="436" spans="1:20">
      <c r="A436">
        <v>9</v>
      </c>
      <c r="B436">
        <v>135806027</v>
      </c>
      <c r="C436" t="str">
        <f t="shared" si="18"/>
        <v>9:135806027</v>
      </c>
      <c r="D436">
        <v>4</v>
      </c>
      <c r="E436" s="1">
        <v>2.7548209399999999E-2</v>
      </c>
      <c r="F436">
        <v>1</v>
      </c>
      <c r="G436">
        <v>2</v>
      </c>
      <c r="H436" s="4">
        <v>0</v>
      </c>
      <c r="I436">
        <v>3</v>
      </c>
      <c r="J436">
        <v>-1688</v>
      </c>
      <c r="K436">
        <v>0</v>
      </c>
      <c r="L436">
        <v>0</v>
      </c>
      <c r="M436">
        <v>0</v>
      </c>
      <c r="N436">
        <v>0</v>
      </c>
      <c r="O436" t="str">
        <f t="shared" si="19"/>
        <v>T</v>
      </c>
      <c r="P436" t="str">
        <f t="shared" si="20"/>
        <v>A</v>
      </c>
      <c r="Q436">
        <f>IF(M436=0,0,VLOOKUP(M436,'aa codes'!$A$1:'aa codes'!$B$21,2))</f>
        <v>0</v>
      </c>
      <c r="R436">
        <f>IF(N436=0,0,VLOOKUP(N436,'aa codes'!$A$1:'aa codes'!$B$21,2))</f>
        <v>0</v>
      </c>
      <c r="S436" s="1">
        <v>1.40105079E-2</v>
      </c>
      <c r="T436" s="1">
        <v>2.7548209399999999E-2</v>
      </c>
    </row>
    <row r="437" spans="1:20">
      <c r="A437">
        <v>9</v>
      </c>
      <c r="B437">
        <v>135806028</v>
      </c>
      <c r="C437" t="str">
        <f t="shared" si="18"/>
        <v>9:135806028</v>
      </c>
      <c r="D437">
        <v>2</v>
      </c>
      <c r="E437" s="1">
        <v>1.4545454500000001E-2</v>
      </c>
      <c r="F437">
        <v>3</v>
      </c>
      <c r="G437">
        <v>2</v>
      </c>
      <c r="H437" s="4">
        <v>0</v>
      </c>
      <c r="I437">
        <v>3</v>
      </c>
      <c r="J437">
        <v>-1689</v>
      </c>
      <c r="K437">
        <v>0</v>
      </c>
      <c r="L437">
        <v>0</v>
      </c>
      <c r="M437">
        <v>0</v>
      </c>
      <c r="N437">
        <v>0</v>
      </c>
      <c r="O437" t="str">
        <f t="shared" si="19"/>
        <v>G</v>
      </c>
      <c r="P437" t="str">
        <f t="shared" si="20"/>
        <v>C</v>
      </c>
      <c r="Q437">
        <f>IF(M437=0,0,VLOOKUP(M437,'aa codes'!$A$1:'aa codes'!$B$21,2))</f>
        <v>0</v>
      </c>
      <c r="R437">
        <f>IF(N437=0,0,VLOOKUP(N437,'aa codes'!$A$1:'aa codes'!$B$21,2))</f>
        <v>0</v>
      </c>
      <c r="S437" s="1">
        <v>1.4545454500000001E-2</v>
      </c>
      <c r="T437" s="1">
        <v>8.7209302299999999E-3</v>
      </c>
    </row>
    <row r="438" spans="1:20">
      <c r="A438">
        <v>9</v>
      </c>
      <c r="B438">
        <v>135806030</v>
      </c>
      <c r="C438" t="str">
        <f t="shared" si="18"/>
        <v>9:135806030</v>
      </c>
      <c r="D438">
        <v>3</v>
      </c>
      <c r="E438" s="1">
        <v>5.4844606899999999E-3</v>
      </c>
      <c r="F438">
        <v>1</v>
      </c>
      <c r="G438">
        <v>1</v>
      </c>
      <c r="H438" s="4">
        <v>0</v>
      </c>
      <c r="I438">
        <v>3</v>
      </c>
      <c r="J438">
        <v>-1691</v>
      </c>
      <c r="K438">
        <v>0</v>
      </c>
      <c r="L438">
        <v>0</v>
      </c>
      <c r="M438">
        <v>0</v>
      </c>
      <c r="N438">
        <v>0</v>
      </c>
      <c r="O438" t="str">
        <f t="shared" si="19"/>
        <v>C</v>
      </c>
      <c r="P438" t="str">
        <f t="shared" si="20"/>
        <v>A</v>
      </c>
      <c r="Q438">
        <f>IF(M438=0,0,VLOOKUP(M438,'aa codes'!$A$1:'aa codes'!$B$21,2))</f>
        <v>0</v>
      </c>
      <c r="R438">
        <f>IF(N438=0,0,VLOOKUP(N438,'aa codes'!$A$1:'aa codes'!$B$21,2))</f>
        <v>0</v>
      </c>
      <c r="S438" s="1">
        <v>5.4844606899999999E-3</v>
      </c>
      <c r="T438" s="1">
        <v>0</v>
      </c>
    </row>
    <row r="439" spans="1:20">
      <c r="A439">
        <v>9</v>
      </c>
      <c r="B439">
        <v>135806036</v>
      </c>
      <c r="C439" t="str">
        <f t="shared" si="18"/>
        <v>9:135806036</v>
      </c>
      <c r="D439">
        <v>4</v>
      </c>
      <c r="E439" s="1">
        <v>8.8028168999999996E-3</v>
      </c>
      <c r="F439">
        <v>1</v>
      </c>
      <c r="G439">
        <v>2</v>
      </c>
      <c r="H439" s="4">
        <v>0</v>
      </c>
      <c r="I439">
        <v>3</v>
      </c>
      <c r="J439">
        <v>-1697</v>
      </c>
      <c r="K439">
        <v>0</v>
      </c>
      <c r="L439">
        <v>0</v>
      </c>
      <c r="M439">
        <v>0</v>
      </c>
      <c r="N439">
        <v>0</v>
      </c>
      <c r="O439" t="str">
        <f t="shared" si="19"/>
        <v>T</v>
      </c>
      <c r="P439" t="str">
        <f t="shared" si="20"/>
        <v>A</v>
      </c>
      <c r="Q439">
        <f>IF(M439=0,0,VLOOKUP(M439,'aa codes'!$A$1:'aa codes'!$B$21,2))</f>
        <v>0</v>
      </c>
      <c r="R439">
        <f>IF(N439=0,0,VLOOKUP(N439,'aa codes'!$A$1:'aa codes'!$B$21,2))</f>
        <v>0</v>
      </c>
      <c r="S439" s="1">
        <v>8.8028168999999996E-3</v>
      </c>
      <c r="T439" s="1">
        <v>5.0632911399999996E-3</v>
      </c>
    </row>
    <row r="440" spans="1:20">
      <c r="A440">
        <v>9</v>
      </c>
      <c r="B440">
        <v>135806040</v>
      </c>
      <c r="C440" t="str">
        <f t="shared" si="18"/>
        <v>9:135806040</v>
      </c>
      <c r="D440">
        <v>4</v>
      </c>
      <c r="E440" s="1">
        <v>6.24024961E-3</v>
      </c>
      <c r="F440">
        <v>1</v>
      </c>
      <c r="G440">
        <v>1</v>
      </c>
      <c r="H440" s="4">
        <v>0</v>
      </c>
      <c r="I440">
        <v>3</v>
      </c>
      <c r="J440">
        <v>-1701</v>
      </c>
      <c r="K440">
        <v>0</v>
      </c>
      <c r="L440">
        <v>0</v>
      </c>
      <c r="M440">
        <v>0</v>
      </c>
      <c r="N440">
        <v>0</v>
      </c>
      <c r="O440" t="str">
        <f t="shared" si="19"/>
        <v>T</v>
      </c>
      <c r="P440" t="str">
        <f t="shared" si="20"/>
        <v>A</v>
      </c>
      <c r="Q440">
        <f>IF(M440=0,0,VLOOKUP(M440,'aa codes'!$A$1:'aa codes'!$B$21,2))</f>
        <v>0</v>
      </c>
      <c r="R440">
        <f>IF(N440=0,0,VLOOKUP(N440,'aa codes'!$A$1:'aa codes'!$B$21,2))</f>
        <v>0</v>
      </c>
      <c r="S440" s="1">
        <v>6.24024961E-3</v>
      </c>
      <c r="T440" s="1">
        <v>4.7961630699999997E-3</v>
      </c>
    </row>
    <row r="441" spans="1:20">
      <c r="A441">
        <v>9</v>
      </c>
      <c r="B441">
        <v>135806043</v>
      </c>
      <c r="C441" t="str">
        <f t="shared" si="18"/>
        <v>9:135806043</v>
      </c>
      <c r="D441">
        <v>2</v>
      </c>
      <c r="E441" s="1">
        <v>9.3457943900000003E-3</v>
      </c>
      <c r="F441">
        <v>1</v>
      </c>
      <c r="G441">
        <v>2</v>
      </c>
      <c r="H441" s="4">
        <v>0</v>
      </c>
      <c r="I441">
        <v>3</v>
      </c>
      <c r="J441">
        <v>-1704</v>
      </c>
      <c r="K441">
        <v>0</v>
      </c>
      <c r="L441">
        <v>0</v>
      </c>
      <c r="M441">
        <v>0</v>
      </c>
      <c r="N441">
        <v>0</v>
      </c>
      <c r="O441" t="str">
        <f t="shared" si="19"/>
        <v>G</v>
      </c>
      <c r="P441" t="str">
        <f t="shared" si="20"/>
        <v>A</v>
      </c>
      <c r="Q441">
        <f>IF(M441=0,0,VLOOKUP(M441,'aa codes'!$A$1:'aa codes'!$B$21,2))</f>
        <v>0</v>
      </c>
      <c r="R441">
        <f>IF(N441=0,0,VLOOKUP(N441,'aa codes'!$A$1:'aa codes'!$B$21,2))</f>
        <v>0</v>
      </c>
      <c r="S441" s="1">
        <v>6.54664484E-3</v>
      </c>
      <c r="T441" s="1">
        <v>9.3457943900000003E-3</v>
      </c>
    </row>
    <row r="442" spans="1:20">
      <c r="A442">
        <v>9</v>
      </c>
      <c r="B442">
        <v>135806048</v>
      </c>
      <c r="C442" t="str">
        <f t="shared" si="18"/>
        <v>9:135806048</v>
      </c>
      <c r="D442">
        <v>2</v>
      </c>
      <c r="E442" s="1">
        <v>9.1743119299999999E-3</v>
      </c>
      <c r="F442">
        <v>1</v>
      </c>
      <c r="G442">
        <v>1</v>
      </c>
      <c r="H442" s="4">
        <v>0</v>
      </c>
      <c r="I442">
        <v>3</v>
      </c>
      <c r="J442">
        <v>-1709</v>
      </c>
      <c r="K442">
        <v>0</v>
      </c>
      <c r="L442">
        <v>0</v>
      </c>
      <c r="M442">
        <v>0</v>
      </c>
      <c r="N442">
        <v>0</v>
      </c>
      <c r="O442" t="str">
        <f t="shared" si="19"/>
        <v>G</v>
      </c>
      <c r="P442" t="str">
        <f t="shared" si="20"/>
        <v>A</v>
      </c>
      <c r="Q442">
        <f>IF(M442=0,0,VLOOKUP(M442,'aa codes'!$A$1:'aa codes'!$B$21,2))</f>
        <v>0</v>
      </c>
      <c r="R442">
        <f>IF(N442=0,0,VLOOKUP(N442,'aa codes'!$A$1:'aa codes'!$B$21,2))</f>
        <v>0</v>
      </c>
      <c r="S442" s="1">
        <v>9.1743119299999999E-3</v>
      </c>
      <c r="T442" s="1">
        <v>4.5045045000000001E-3</v>
      </c>
    </row>
    <row r="443" spans="1:20">
      <c r="A443">
        <v>9</v>
      </c>
      <c r="B443">
        <v>135808559</v>
      </c>
      <c r="C443" t="str">
        <f t="shared" si="18"/>
        <v>9:135808559</v>
      </c>
      <c r="D443">
        <v>4</v>
      </c>
      <c r="E443" s="1">
        <v>5.6179775300000002E-3</v>
      </c>
      <c r="F443">
        <v>3</v>
      </c>
      <c r="G443">
        <v>1</v>
      </c>
      <c r="H443" s="4">
        <v>0</v>
      </c>
      <c r="I443">
        <v>2</v>
      </c>
      <c r="J443">
        <v>1861</v>
      </c>
      <c r="K443">
        <v>0</v>
      </c>
      <c r="L443">
        <v>0</v>
      </c>
      <c r="M443">
        <v>0</v>
      </c>
      <c r="N443">
        <v>0</v>
      </c>
      <c r="O443" t="str">
        <f t="shared" si="19"/>
        <v>T</v>
      </c>
      <c r="P443" t="str">
        <f t="shared" si="20"/>
        <v>C</v>
      </c>
      <c r="Q443">
        <f>IF(M443=0,0,VLOOKUP(M443,'aa codes'!$A$1:'aa codes'!$B$21,2))</f>
        <v>0</v>
      </c>
      <c r="R443">
        <f>IF(N443=0,0,VLOOKUP(N443,'aa codes'!$A$1:'aa codes'!$B$21,2))</f>
        <v>0</v>
      </c>
      <c r="S443" s="1">
        <v>0</v>
      </c>
      <c r="T443" s="1">
        <v>5.6179775300000002E-3</v>
      </c>
    </row>
    <row r="444" spans="1:20">
      <c r="A444">
        <v>9</v>
      </c>
      <c r="B444">
        <v>135808564</v>
      </c>
      <c r="C444" t="str">
        <f t="shared" si="18"/>
        <v>9:135808564</v>
      </c>
      <c r="D444">
        <v>4</v>
      </c>
      <c r="E444" s="1">
        <v>5.6818181800000001E-3</v>
      </c>
      <c r="F444">
        <v>3</v>
      </c>
      <c r="G444">
        <v>1</v>
      </c>
      <c r="H444" s="4">
        <v>0</v>
      </c>
      <c r="I444">
        <v>2</v>
      </c>
      <c r="J444">
        <v>1856</v>
      </c>
      <c r="K444">
        <v>0</v>
      </c>
      <c r="L444">
        <v>0</v>
      </c>
      <c r="M444">
        <v>0</v>
      </c>
      <c r="N444">
        <v>0</v>
      </c>
      <c r="O444" t="str">
        <f t="shared" si="19"/>
        <v>T</v>
      </c>
      <c r="P444" t="str">
        <f t="shared" si="20"/>
        <v>C</v>
      </c>
      <c r="Q444">
        <f>IF(M444=0,0,VLOOKUP(M444,'aa codes'!$A$1:'aa codes'!$B$21,2))</f>
        <v>0</v>
      </c>
      <c r="R444">
        <f>IF(N444=0,0,VLOOKUP(N444,'aa codes'!$A$1:'aa codes'!$B$21,2))</f>
        <v>0</v>
      </c>
      <c r="S444" s="1">
        <v>2.2321428599999999E-3</v>
      </c>
      <c r="T444" s="1">
        <v>5.6818181800000001E-3</v>
      </c>
    </row>
    <row r="445" spans="1:20">
      <c r="A445">
        <v>9</v>
      </c>
      <c r="B445">
        <v>135808565</v>
      </c>
      <c r="C445" t="str">
        <f t="shared" si="18"/>
        <v>9:135808565</v>
      </c>
      <c r="D445">
        <v>2</v>
      </c>
      <c r="E445" s="1">
        <v>1.1049723799999999E-2</v>
      </c>
      <c r="F445">
        <v>1</v>
      </c>
      <c r="G445">
        <v>1</v>
      </c>
      <c r="H445" s="4">
        <v>3.2299999999999999E-5</v>
      </c>
      <c r="I445">
        <v>2</v>
      </c>
      <c r="J445">
        <v>1855</v>
      </c>
      <c r="K445">
        <v>0</v>
      </c>
      <c r="L445">
        <v>0</v>
      </c>
      <c r="M445">
        <v>0</v>
      </c>
      <c r="N445">
        <v>0</v>
      </c>
      <c r="O445" t="str">
        <f t="shared" si="19"/>
        <v>G</v>
      </c>
      <c r="P445" t="str">
        <f t="shared" si="20"/>
        <v>A</v>
      </c>
      <c r="Q445">
        <f>IF(M445=0,0,VLOOKUP(M445,'aa codes'!$A$1:'aa codes'!$B$21,2))</f>
        <v>0</v>
      </c>
      <c r="R445">
        <f>IF(N445=0,0,VLOOKUP(N445,'aa codes'!$A$1:'aa codes'!$B$21,2))</f>
        <v>0</v>
      </c>
      <c r="S445" s="1">
        <v>0</v>
      </c>
      <c r="T445" s="1">
        <v>1.1049723799999999E-2</v>
      </c>
    </row>
    <row r="446" spans="1:20">
      <c r="A446">
        <v>9</v>
      </c>
      <c r="B446">
        <v>135808569</v>
      </c>
      <c r="C446" t="str">
        <f t="shared" si="18"/>
        <v>9:135808569</v>
      </c>
      <c r="D446">
        <v>3</v>
      </c>
      <c r="E446" s="1">
        <v>5.9171597600000004E-3</v>
      </c>
      <c r="F446">
        <v>4</v>
      </c>
      <c r="G446">
        <v>1</v>
      </c>
      <c r="H446" s="4">
        <v>0</v>
      </c>
      <c r="I446">
        <v>2</v>
      </c>
      <c r="J446">
        <v>1851</v>
      </c>
      <c r="K446">
        <v>0</v>
      </c>
      <c r="L446">
        <v>0</v>
      </c>
      <c r="M446">
        <v>0</v>
      </c>
      <c r="N446">
        <v>0</v>
      </c>
      <c r="O446" t="str">
        <f t="shared" si="19"/>
        <v>C</v>
      </c>
      <c r="P446" t="str">
        <f t="shared" si="20"/>
        <v>T</v>
      </c>
      <c r="Q446">
        <f>IF(M446=0,0,VLOOKUP(M446,'aa codes'!$A$1:'aa codes'!$B$21,2))</f>
        <v>0</v>
      </c>
      <c r="R446">
        <f>IF(N446=0,0,VLOOKUP(N446,'aa codes'!$A$1:'aa codes'!$B$21,2))</f>
        <v>0</v>
      </c>
      <c r="S446" s="1">
        <v>0</v>
      </c>
      <c r="T446" s="1">
        <v>5.9171597600000004E-3</v>
      </c>
    </row>
    <row r="447" spans="1:20">
      <c r="A447">
        <v>9</v>
      </c>
      <c r="B447">
        <v>135808570</v>
      </c>
      <c r="C447" t="str">
        <f t="shared" si="18"/>
        <v>9:135808570</v>
      </c>
      <c r="D447">
        <v>1</v>
      </c>
      <c r="E447" s="1">
        <v>6.0606060600000003E-3</v>
      </c>
      <c r="F447">
        <v>2</v>
      </c>
      <c r="G447">
        <v>1</v>
      </c>
      <c r="H447" s="4">
        <v>0</v>
      </c>
      <c r="I447">
        <v>2</v>
      </c>
      <c r="J447">
        <v>1850</v>
      </c>
      <c r="K447">
        <v>0</v>
      </c>
      <c r="L447">
        <v>0</v>
      </c>
      <c r="M447">
        <v>0</v>
      </c>
      <c r="N447">
        <v>0</v>
      </c>
      <c r="O447" t="str">
        <f t="shared" si="19"/>
        <v>A</v>
      </c>
      <c r="P447" t="str">
        <f t="shared" si="20"/>
        <v>G</v>
      </c>
      <c r="Q447">
        <f>IF(M447=0,0,VLOOKUP(M447,'aa codes'!$A$1:'aa codes'!$B$21,2))</f>
        <v>0</v>
      </c>
      <c r="R447">
        <f>IF(N447=0,0,VLOOKUP(N447,'aa codes'!$A$1:'aa codes'!$B$21,2))</f>
        <v>0</v>
      </c>
      <c r="S447" s="1">
        <v>0</v>
      </c>
      <c r="T447" s="1">
        <v>6.0606060600000003E-3</v>
      </c>
    </row>
    <row r="448" spans="1:20">
      <c r="A448">
        <v>9</v>
      </c>
      <c r="B448">
        <v>135808578</v>
      </c>
      <c r="C448" t="str">
        <f t="shared" si="18"/>
        <v>9:135808578</v>
      </c>
      <c r="D448">
        <v>2</v>
      </c>
      <c r="E448" s="1">
        <v>6.2111801199999997E-3</v>
      </c>
      <c r="F448">
        <v>1</v>
      </c>
      <c r="G448">
        <v>1</v>
      </c>
      <c r="H448" s="4">
        <v>0</v>
      </c>
      <c r="I448">
        <v>2</v>
      </c>
      <c r="J448">
        <v>1842</v>
      </c>
      <c r="K448">
        <v>0</v>
      </c>
      <c r="L448">
        <v>0</v>
      </c>
      <c r="M448">
        <v>0</v>
      </c>
      <c r="N448">
        <v>0</v>
      </c>
      <c r="O448" t="str">
        <f t="shared" si="19"/>
        <v>G</v>
      </c>
      <c r="P448" t="str">
        <f t="shared" si="20"/>
        <v>A</v>
      </c>
      <c r="Q448">
        <f>IF(M448=0,0,VLOOKUP(M448,'aa codes'!$A$1:'aa codes'!$B$21,2))</f>
        <v>0</v>
      </c>
      <c r="R448">
        <f>IF(N448=0,0,VLOOKUP(N448,'aa codes'!$A$1:'aa codes'!$B$21,2))</f>
        <v>0</v>
      </c>
      <c r="S448" s="1">
        <v>0</v>
      </c>
      <c r="T448" s="1">
        <v>6.2111801199999997E-3</v>
      </c>
    </row>
    <row r="449" spans="1:20">
      <c r="A449">
        <v>9</v>
      </c>
      <c r="B449">
        <v>135808587</v>
      </c>
      <c r="C449" t="str">
        <f t="shared" si="18"/>
        <v>9:135808587</v>
      </c>
      <c r="D449">
        <v>1</v>
      </c>
      <c r="E449" s="1">
        <v>6.7114093999999999E-3</v>
      </c>
      <c r="F449">
        <v>2</v>
      </c>
      <c r="G449">
        <v>1</v>
      </c>
      <c r="H449" s="4">
        <v>0</v>
      </c>
      <c r="I449">
        <v>2</v>
      </c>
      <c r="J449">
        <v>1833</v>
      </c>
      <c r="K449">
        <v>0</v>
      </c>
      <c r="L449">
        <v>0</v>
      </c>
      <c r="M449">
        <v>0</v>
      </c>
      <c r="N449">
        <v>0</v>
      </c>
      <c r="O449" t="str">
        <f t="shared" si="19"/>
        <v>A</v>
      </c>
      <c r="P449" t="str">
        <f t="shared" si="20"/>
        <v>G</v>
      </c>
      <c r="Q449">
        <f>IF(M449=0,0,VLOOKUP(M449,'aa codes'!$A$1:'aa codes'!$B$21,2))</f>
        <v>0</v>
      </c>
      <c r="R449">
        <f>IF(N449=0,0,VLOOKUP(N449,'aa codes'!$A$1:'aa codes'!$B$21,2))</f>
        <v>0</v>
      </c>
      <c r="S449" s="1">
        <v>2.63157895E-3</v>
      </c>
      <c r="T449" s="1">
        <v>6.7114093999999999E-3</v>
      </c>
    </row>
    <row r="450" spans="1:20">
      <c r="A450">
        <v>9</v>
      </c>
      <c r="B450">
        <v>135808592</v>
      </c>
      <c r="C450" t="str">
        <f t="shared" si="18"/>
        <v>9:135808592</v>
      </c>
      <c r="D450">
        <v>1</v>
      </c>
      <c r="E450" s="1">
        <v>6.9444444400000001E-3</v>
      </c>
      <c r="F450">
        <v>2</v>
      </c>
      <c r="G450">
        <v>1</v>
      </c>
      <c r="H450" s="4">
        <v>0</v>
      </c>
      <c r="I450">
        <v>2</v>
      </c>
      <c r="J450">
        <v>1828</v>
      </c>
      <c r="K450">
        <v>0</v>
      </c>
      <c r="L450">
        <v>0</v>
      </c>
      <c r="M450">
        <v>0</v>
      </c>
      <c r="N450">
        <v>0</v>
      </c>
      <c r="O450" t="str">
        <f t="shared" si="19"/>
        <v>A</v>
      </c>
      <c r="P450" t="str">
        <f t="shared" si="20"/>
        <v>G</v>
      </c>
      <c r="Q450">
        <f>IF(M450=0,0,VLOOKUP(M450,'aa codes'!$A$1:'aa codes'!$B$21,2))</f>
        <v>0</v>
      </c>
      <c r="R450">
        <f>IF(N450=0,0,VLOOKUP(N450,'aa codes'!$A$1:'aa codes'!$B$21,2))</f>
        <v>0</v>
      </c>
      <c r="S450" s="1">
        <v>0</v>
      </c>
      <c r="T450" s="1">
        <v>6.9444444400000001E-3</v>
      </c>
    </row>
    <row r="451" spans="1:20">
      <c r="A451">
        <v>9</v>
      </c>
      <c r="B451">
        <v>135808597</v>
      </c>
      <c r="C451" t="str">
        <f t="shared" ref="C451:C506" si="21">A451&amp;":"&amp;B451</f>
        <v>9:135808597</v>
      </c>
      <c r="D451">
        <v>3</v>
      </c>
      <c r="E451" s="1">
        <v>7.2463768099999999E-3</v>
      </c>
      <c r="F451">
        <v>4</v>
      </c>
      <c r="G451">
        <v>1</v>
      </c>
      <c r="H451" s="4">
        <v>0</v>
      </c>
      <c r="I451">
        <v>2</v>
      </c>
      <c r="J451">
        <v>1823</v>
      </c>
      <c r="K451">
        <v>0</v>
      </c>
      <c r="L451">
        <v>0</v>
      </c>
      <c r="M451">
        <v>0</v>
      </c>
      <c r="N451">
        <v>0</v>
      </c>
      <c r="O451" t="str">
        <f t="shared" ref="O451:O506" si="22">IF(D451=1,"A",IF(D451=2,"G",IF(D451=3,"C",IF(D451=4,"T","2NT"))))</f>
        <v>C</v>
      </c>
      <c r="P451" t="str">
        <f t="shared" ref="P451:P506" si="23">IF(F451=1,"A",IF(F451=2,"G",IF(F451=3,"C",IF(F451=4,"T","2NT"))))</f>
        <v>T</v>
      </c>
      <c r="Q451">
        <f>IF(M451=0,0,VLOOKUP(M451,'aa codes'!$A$1:'aa codes'!$B$21,2))</f>
        <v>0</v>
      </c>
      <c r="R451">
        <f>IF(N451=0,0,VLOOKUP(N451,'aa codes'!$A$1:'aa codes'!$B$21,2))</f>
        <v>0</v>
      </c>
      <c r="S451" s="1">
        <v>0</v>
      </c>
      <c r="T451" s="1">
        <v>7.2463768099999999E-3</v>
      </c>
    </row>
    <row r="452" spans="1:20">
      <c r="A452">
        <v>9</v>
      </c>
      <c r="B452">
        <v>135808633</v>
      </c>
      <c r="C452" t="str">
        <f t="shared" si="21"/>
        <v>9:135808633</v>
      </c>
      <c r="D452">
        <v>3</v>
      </c>
      <c r="E452" s="1">
        <v>5.3475935799999997E-3</v>
      </c>
      <c r="F452">
        <v>1</v>
      </c>
      <c r="G452">
        <v>1</v>
      </c>
      <c r="H452" s="4">
        <v>0</v>
      </c>
      <c r="I452">
        <v>2</v>
      </c>
      <c r="J452">
        <v>1787</v>
      </c>
      <c r="K452">
        <v>0</v>
      </c>
      <c r="L452">
        <v>0</v>
      </c>
      <c r="M452">
        <v>0</v>
      </c>
      <c r="N452">
        <v>0</v>
      </c>
      <c r="O452" t="str">
        <f t="shared" si="22"/>
        <v>C</v>
      </c>
      <c r="P452" t="str">
        <f t="shared" si="23"/>
        <v>A</v>
      </c>
      <c r="Q452">
        <f>IF(M452=0,0,VLOOKUP(M452,'aa codes'!$A$1:'aa codes'!$B$21,2))</f>
        <v>0</v>
      </c>
      <c r="R452">
        <f>IF(N452=0,0,VLOOKUP(N452,'aa codes'!$A$1:'aa codes'!$B$21,2))</f>
        <v>0</v>
      </c>
      <c r="S452" s="1">
        <v>2.8011204500000002E-3</v>
      </c>
      <c r="T452" s="1">
        <v>5.3475935799999997E-3</v>
      </c>
    </row>
    <row r="453" spans="1:20">
      <c r="A453">
        <v>9</v>
      </c>
      <c r="B453">
        <v>135808634</v>
      </c>
      <c r="C453" t="str">
        <f t="shared" si="21"/>
        <v>9:135808634</v>
      </c>
      <c r="D453">
        <v>2</v>
      </c>
      <c r="E453" s="1">
        <v>5.4054054100000004E-3</v>
      </c>
      <c r="F453">
        <v>1</v>
      </c>
      <c r="G453">
        <v>1</v>
      </c>
      <c r="H453" s="4">
        <v>0</v>
      </c>
      <c r="I453">
        <v>2</v>
      </c>
      <c r="J453">
        <v>1786</v>
      </c>
      <c r="K453">
        <v>0</v>
      </c>
      <c r="L453">
        <v>0</v>
      </c>
      <c r="M453">
        <v>0</v>
      </c>
      <c r="N453">
        <v>0</v>
      </c>
      <c r="O453" t="str">
        <f t="shared" si="22"/>
        <v>G</v>
      </c>
      <c r="P453" t="str">
        <f t="shared" si="23"/>
        <v>A</v>
      </c>
      <c r="Q453">
        <f>IF(M453=0,0,VLOOKUP(M453,'aa codes'!$A$1:'aa codes'!$B$21,2))</f>
        <v>0</v>
      </c>
      <c r="R453">
        <f>IF(N453=0,0,VLOOKUP(N453,'aa codes'!$A$1:'aa codes'!$B$21,2))</f>
        <v>0</v>
      </c>
      <c r="S453" s="1">
        <v>0</v>
      </c>
      <c r="T453" s="1">
        <v>5.4054054100000004E-3</v>
      </c>
    </row>
    <row r="454" spans="1:20">
      <c r="A454">
        <v>9</v>
      </c>
      <c r="B454">
        <v>135808645</v>
      </c>
      <c r="C454" t="str">
        <f t="shared" si="21"/>
        <v>9:135808645</v>
      </c>
      <c r="D454">
        <v>2</v>
      </c>
      <c r="E454" s="1">
        <v>5.3763440900000004E-3</v>
      </c>
      <c r="F454">
        <v>1</v>
      </c>
      <c r="G454">
        <v>1</v>
      </c>
      <c r="H454" s="4">
        <v>0</v>
      </c>
      <c r="I454">
        <v>2</v>
      </c>
      <c r="J454">
        <v>1775</v>
      </c>
      <c r="K454">
        <v>0</v>
      </c>
      <c r="L454">
        <v>0</v>
      </c>
      <c r="M454">
        <v>0</v>
      </c>
      <c r="N454">
        <v>0</v>
      </c>
      <c r="O454" t="str">
        <f t="shared" si="22"/>
        <v>G</v>
      </c>
      <c r="P454" t="str">
        <f t="shared" si="23"/>
        <v>A</v>
      </c>
      <c r="Q454">
        <f>IF(M454=0,0,VLOOKUP(M454,'aa codes'!$A$1:'aa codes'!$B$21,2))</f>
        <v>0</v>
      </c>
      <c r="R454">
        <f>IF(N454=0,0,VLOOKUP(N454,'aa codes'!$A$1:'aa codes'!$B$21,2))</f>
        <v>0</v>
      </c>
      <c r="S454" s="1">
        <v>0</v>
      </c>
      <c r="T454" s="1">
        <v>5.3763440900000004E-3</v>
      </c>
    </row>
    <row r="455" spans="1:20">
      <c r="A455">
        <v>9</v>
      </c>
      <c r="B455">
        <v>135808649</v>
      </c>
      <c r="C455" t="str">
        <f t="shared" si="21"/>
        <v>9:135808649</v>
      </c>
      <c r="D455">
        <v>4</v>
      </c>
      <c r="E455" s="1">
        <v>5.49450549E-3</v>
      </c>
      <c r="F455">
        <v>3</v>
      </c>
      <c r="G455">
        <v>1</v>
      </c>
      <c r="H455" s="4">
        <v>0</v>
      </c>
      <c r="I455">
        <v>2</v>
      </c>
      <c r="J455">
        <v>1771</v>
      </c>
      <c r="K455">
        <v>0</v>
      </c>
      <c r="L455">
        <v>0</v>
      </c>
      <c r="M455">
        <v>0</v>
      </c>
      <c r="N455">
        <v>0</v>
      </c>
      <c r="O455" t="str">
        <f t="shared" si="22"/>
        <v>T</v>
      </c>
      <c r="P455" t="str">
        <f t="shared" si="23"/>
        <v>C</v>
      </c>
      <c r="Q455">
        <f>IF(M455=0,0,VLOOKUP(M455,'aa codes'!$A$1:'aa codes'!$B$21,2))</f>
        <v>0</v>
      </c>
      <c r="R455">
        <f>IF(N455=0,0,VLOOKUP(N455,'aa codes'!$A$1:'aa codes'!$B$21,2))</f>
        <v>0</v>
      </c>
      <c r="S455" s="1">
        <v>0</v>
      </c>
      <c r="T455" s="1">
        <v>5.49450549E-3</v>
      </c>
    </row>
    <row r="456" spans="1:20">
      <c r="A456">
        <v>9</v>
      </c>
      <c r="B456">
        <v>135808653</v>
      </c>
      <c r="C456" t="str">
        <f t="shared" si="21"/>
        <v>9:135808653</v>
      </c>
      <c r="D456">
        <v>1</v>
      </c>
      <c r="E456" s="1">
        <v>5.4644808699999999E-3</v>
      </c>
      <c r="F456">
        <v>2</v>
      </c>
      <c r="G456">
        <v>1</v>
      </c>
      <c r="H456" s="4">
        <v>3.2299999999999999E-5</v>
      </c>
      <c r="I456">
        <v>2</v>
      </c>
      <c r="J456">
        <v>1767</v>
      </c>
      <c r="K456">
        <v>0</v>
      </c>
      <c r="L456">
        <v>0</v>
      </c>
      <c r="M456">
        <v>0</v>
      </c>
      <c r="N456">
        <v>0</v>
      </c>
      <c r="O456" t="str">
        <f t="shared" si="22"/>
        <v>A</v>
      </c>
      <c r="P456" t="str">
        <f t="shared" si="23"/>
        <v>G</v>
      </c>
      <c r="Q456">
        <f>IF(M456=0,0,VLOOKUP(M456,'aa codes'!$A$1:'aa codes'!$B$21,2))</f>
        <v>0</v>
      </c>
      <c r="R456">
        <f>IF(N456=0,0,VLOOKUP(N456,'aa codes'!$A$1:'aa codes'!$B$21,2))</f>
        <v>0</v>
      </c>
      <c r="S456" s="1">
        <v>0</v>
      </c>
      <c r="T456" s="1">
        <v>5.4644808699999999E-3</v>
      </c>
    </row>
    <row r="457" spans="1:20">
      <c r="A457">
        <v>9</v>
      </c>
      <c r="B457">
        <v>135808658</v>
      </c>
      <c r="C457" t="str">
        <f t="shared" si="21"/>
        <v>9:135808658</v>
      </c>
      <c r="D457">
        <v>2</v>
      </c>
      <c r="E457" s="1">
        <v>5.5555555599999997E-3</v>
      </c>
      <c r="F457">
        <v>1</v>
      </c>
      <c r="G457">
        <v>1</v>
      </c>
      <c r="H457" s="4">
        <v>0</v>
      </c>
      <c r="I457">
        <v>2</v>
      </c>
      <c r="J457">
        <v>1762</v>
      </c>
      <c r="K457">
        <v>0</v>
      </c>
      <c r="L457">
        <v>0</v>
      </c>
      <c r="M457">
        <v>0</v>
      </c>
      <c r="N457">
        <v>0</v>
      </c>
      <c r="O457" t="str">
        <f t="shared" si="22"/>
        <v>G</v>
      </c>
      <c r="P457" t="str">
        <f t="shared" si="23"/>
        <v>A</v>
      </c>
      <c r="Q457">
        <f>IF(M457=0,0,VLOOKUP(M457,'aa codes'!$A$1:'aa codes'!$B$21,2))</f>
        <v>0</v>
      </c>
      <c r="R457">
        <f>IF(N457=0,0,VLOOKUP(N457,'aa codes'!$A$1:'aa codes'!$B$21,2))</f>
        <v>0</v>
      </c>
      <c r="S457" s="1">
        <v>0</v>
      </c>
      <c r="T457" s="1">
        <v>5.5555555599999997E-3</v>
      </c>
    </row>
    <row r="458" spans="1:20">
      <c r="A458">
        <v>9</v>
      </c>
      <c r="B458">
        <v>135808665</v>
      </c>
      <c r="C458" t="str">
        <f t="shared" si="21"/>
        <v>9:135808665</v>
      </c>
      <c r="D458">
        <v>3</v>
      </c>
      <c r="E458" s="1">
        <v>5.1546391800000001E-3</v>
      </c>
      <c r="F458">
        <v>1</v>
      </c>
      <c r="G458">
        <v>1</v>
      </c>
      <c r="H458" s="4">
        <v>0</v>
      </c>
      <c r="I458">
        <v>2</v>
      </c>
      <c r="J458">
        <v>1755</v>
      </c>
      <c r="K458">
        <v>0</v>
      </c>
      <c r="L458">
        <v>0</v>
      </c>
      <c r="M458">
        <v>0</v>
      </c>
      <c r="N458">
        <v>0</v>
      </c>
      <c r="O458" t="str">
        <f t="shared" si="22"/>
        <v>C</v>
      </c>
      <c r="P458" t="str">
        <f t="shared" si="23"/>
        <v>A</v>
      </c>
      <c r="Q458">
        <f>IF(M458=0,0,VLOOKUP(M458,'aa codes'!$A$1:'aa codes'!$B$21,2))</f>
        <v>0</v>
      </c>
      <c r="R458">
        <f>IF(N458=0,0,VLOOKUP(N458,'aa codes'!$A$1:'aa codes'!$B$21,2))</f>
        <v>0</v>
      </c>
      <c r="S458" s="1">
        <v>0</v>
      </c>
      <c r="T458" s="1">
        <v>5.1546391800000001E-3</v>
      </c>
    </row>
    <row r="459" spans="1:20">
      <c r="A459">
        <v>9</v>
      </c>
      <c r="B459">
        <v>135808684</v>
      </c>
      <c r="C459" t="str">
        <f t="shared" si="21"/>
        <v>9:135808684</v>
      </c>
      <c r="D459">
        <v>3</v>
      </c>
      <c r="E459" s="1">
        <v>5.0000000000000001E-3</v>
      </c>
      <c r="F459">
        <v>4</v>
      </c>
      <c r="G459">
        <v>1</v>
      </c>
      <c r="H459" s="4">
        <v>0</v>
      </c>
      <c r="I459">
        <v>2</v>
      </c>
      <c r="J459">
        <v>1736</v>
      </c>
      <c r="K459">
        <v>0</v>
      </c>
      <c r="L459">
        <v>0</v>
      </c>
      <c r="M459">
        <v>0</v>
      </c>
      <c r="N459">
        <v>0</v>
      </c>
      <c r="O459" t="str">
        <f t="shared" si="22"/>
        <v>C</v>
      </c>
      <c r="P459" t="str">
        <f t="shared" si="23"/>
        <v>T</v>
      </c>
      <c r="Q459">
        <f>IF(M459=0,0,VLOOKUP(M459,'aa codes'!$A$1:'aa codes'!$B$21,2))</f>
        <v>0</v>
      </c>
      <c r="R459">
        <f>IF(N459=0,0,VLOOKUP(N459,'aa codes'!$A$1:'aa codes'!$B$21,2))</f>
        <v>0</v>
      </c>
      <c r="S459" s="1">
        <v>2.2988505700000002E-3</v>
      </c>
      <c r="T459" s="1">
        <v>5.0000000000000001E-3</v>
      </c>
    </row>
    <row r="460" spans="1:20">
      <c r="A460">
        <v>9</v>
      </c>
      <c r="B460">
        <v>135808729</v>
      </c>
      <c r="C460" t="str">
        <f t="shared" si="21"/>
        <v>9:135808729</v>
      </c>
      <c r="D460">
        <v>2</v>
      </c>
      <c r="E460" s="1">
        <v>9.2592592599999995E-3</v>
      </c>
      <c r="F460">
        <v>1</v>
      </c>
      <c r="G460">
        <v>1</v>
      </c>
      <c r="H460" s="4">
        <v>1.939E-4</v>
      </c>
      <c r="I460">
        <v>2</v>
      </c>
      <c r="J460">
        <v>1691</v>
      </c>
      <c r="K460">
        <v>0</v>
      </c>
      <c r="L460">
        <v>0</v>
      </c>
      <c r="M460">
        <v>0</v>
      </c>
      <c r="N460">
        <v>0</v>
      </c>
      <c r="O460" t="str">
        <f t="shared" si="22"/>
        <v>G</v>
      </c>
      <c r="P460" t="str">
        <f t="shared" si="23"/>
        <v>A</v>
      </c>
      <c r="Q460">
        <f>IF(M460=0,0,VLOOKUP(M460,'aa codes'!$A$1:'aa codes'!$B$21,2))</f>
        <v>0</v>
      </c>
      <c r="R460">
        <f>IF(N460=0,0,VLOOKUP(N460,'aa codes'!$A$1:'aa codes'!$B$21,2))</f>
        <v>0</v>
      </c>
      <c r="S460" s="1">
        <v>1.7331022499999999E-3</v>
      </c>
      <c r="T460" s="1">
        <v>9.2592592599999995E-3</v>
      </c>
    </row>
    <row r="461" spans="1:20">
      <c r="A461">
        <v>9</v>
      </c>
      <c r="B461">
        <v>135808861</v>
      </c>
      <c r="C461" t="str">
        <f t="shared" si="21"/>
        <v>9:135808861</v>
      </c>
      <c r="D461">
        <v>3</v>
      </c>
      <c r="E461" s="1">
        <v>0.47929606600000002</v>
      </c>
      <c r="F461">
        <v>4</v>
      </c>
      <c r="G461">
        <v>2</v>
      </c>
      <c r="H461" s="4">
        <v>0.38919999999999999</v>
      </c>
      <c r="I461">
        <v>2</v>
      </c>
      <c r="J461">
        <v>1559</v>
      </c>
      <c r="K461">
        <v>0</v>
      </c>
      <c r="L461">
        <v>0</v>
      </c>
      <c r="M461">
        <v>0</v>
      </c>
      <c r="N461">
        <v>0</v>
      </c>
      <c r="O461" t="str">
        <f t="shared" si="22"/>
        <v>C</v>
      </c>
      <c r="P461" t="str">
        <f t="shared" si="23"/>
        <v>T</v>
      </c>
      <c r="Q461">
        <f>IF(M461=0,0,VLOOKUP(M461,'aa codes'!$A$1:'aa codes'!$B$21,2))</f>
        <v>0</v>
      </c>
      <c r="R461">
        <f>IF(N461=0,0,VLOOKUP(N461,'aa codes'!$A$1:'aa codes'!$B$21,2))</f>
        <v>0</v>
      </c>
      <c r="S461" s="1">
        <v>0.47929606600000002</v>
      </c>
      <c r="T461" s="1">
        <v>0.47923322699999998</v>
      </c>
    </row>
    <row r="462" spans="1:20">
      <c r="A462">
        <v>9</v>
      </c>
      <c r="B462">
        <v>135809944</v>
      </c>
      <c r="C462" t="str">
        <f t="shared" si="21"/>
        <v>9:135809944</v>
      </c>
      <c r="D462">
        <v>2</v>
      </c>
      <c r="E462" s="1">
        <v>0.50363901</v>
      </c>
      <c r="F462">
        <v>1</v>
      </c>
      <c r="G462">
        <v>1</v>
      </c>
      <c r="H462" s="4">
        <v>6.3920000000000001E-3</v>
      </c>
      <c r="I462">
        <v>2</v>
      </c>
      <c r="J462">
        <v>476</v>
      </c>
      <c r="K462">
        <v>0</v>
      </c>
      <c r="L462">
        <v>0</v>
      </c>
      <c r="M462">
        <v>0</v>
      </c>
      <c r="N462">
        <v>0</v>
      </c>
      <c r="O462" t="str">
        <f t="shared" si="22"/>
        <v>G</v>
      </c>
      <c r="P462" t="str">
        <f t="shared" si="23"/>
        <v>A</v>
      </c>
      <c r="Q462">
        <f>IF(M462=0,0,VLOOKUP(M462,'aa codes'!$A$1:'aa codes'!$B$21,2))</f>
        <v>0</v>
      </c>
      <c r="R462">
        <f>IF(N462=0,0,VLOOKUP(N462,'aa codes'!$A$1:'aa codes'!$B$21,2))</f>
        <v>0</v>
      </c>
      <c r="S462" s="1">
        <v>0</v>
      </c>
      <c r="T462" s="1">
        <v>0.50363901</v>
      </c>
    </row>
    <row r="463" spans="1:20">
      <c r="A463">
        <v>9</v>
      </c>
      <c r="B463">
        <v>135812597</v>
      </c>
      <c r="C463" t="str">
        <f t="shared" si="21"/>
        <v>9:135812597</v>
      </c>
      <c r="D463">
        <v>1</v>
      </c>
      <c r="E463" s="1">
        <v>8.0321285100000001E-3</v>
      </c>
      <c r="F463">
        <v>2</v>
      </c>
      <c r="G463">
        <v>1</v>
      </c>
      <c r="H463" s="4">
        <v>0</v>
      </c>
      <c r="I463">
        <v>2</v>
      </c>
      <c r="J463">
        <v>-2115</v>
      </c>
      <c r="K463">
        <v>0</v>
      </c>
      <c r="L463">
        <v>0</v>
      </c>
      <c r="M463">
        <v>0</v>
      </c>
      <c r="N463">
        <v>0</v>
      </c>
      <c r="O463" t="str">
        <f t="shared" si="22"/>
        <v>A</v>
      </c>
      <c r="P463" t="str">
        <f t="shared" si="23"/>
        <v>G</v>
      </c>
      <c r="Q463">
        <f>IF(M463=0,0,VLOOKUP(M463,'aa codes'!$A$1:'aa codes'!$B$21,2))</f>
        <v>0</v>
      </c>
      <c r="R463">
        <f>IF(N463=0,0,VLOOKUP(N463,'aa codes'!$A$1:'aa codes'!$B$21,2))</f>
        <v>0</v>
      </c>
      <c r="S463" s="1">
        <v>0</v>
      </c>
      <c r="T463" s="1">
        <v>8.0321285100000001E-3</v>
      </c>
    </row>
    <row r="464" spans="1:20">
      <c r="A464">
        <v>9</v>
      </c>
      <c r="B464">
        <v>135812636</v>
      </c>
      <c r="C464" t="str">
        <f t="shared" si="21"/>
        <v>9:135812636</v>
      </c>
      <c r="D464">
        <v>1</v>
      </c>
      <c r="E464" s="1">
        <v>5.5248618799999998E-3</v>
      </c>
      <c r="F464">
        <v>2</v>
      </c>
      <c r="G464">
        <v>1</v>
      </c>
      <c r="H464" s="4">
        <v>0</v>
      </c>
      <c r="I464">
        <v>2</v>
      </c>
      <c r="J464">
        <v>-2154</v>
      </c>
      <c r="K464">
        <v>0</v>
      </c>
      <c r="L464">
        <v>0</v>
      </c>
      <c r="M464">
        <v>0</v>
      </c>
      <c r="N464">
        <v>0</v>
      </c>
      <c r="O464" t="str">
        <f t="shared" si="22"/>
        <v>A</v>
      </c>
      <c r="P464" t="str">
        <f t="shared" si="23"/>
        <v>G</v>
      </c>
      <c r="Q464">
        <f>IF(M464=0,0,VLOOKUP(M464,'aa codes'!$A$1:'aa codes'!$B$21,2))</f>
        <v>0</v>
      </c>
      <c r="R464">
        <f>IF(N464=0,0,VLOOKUP(N464,'aa codes'!$A$1:'aa codes'!$B$21,2))</f>
        <v>0</v>
      </c>
      <c r="S464" s="1">
        <v>0</v>
      </c>
      <c r="T464" s="1">
        <v>5.5248618799999998E-3</v>
      </c>
    </row>
    <row r="465" spans="1:20">
      <c r="A465">
        <v>9</v>
      </c>
      <c r="B465">
        <v>135812646</v>
      </c>
      <c r="C465" t="str">
        <f t="shared" si="21"/>
        <v>9:135812646</v>
      </c>
      <c r="D465">
        <v>3</v>
      </c>
      <c r="E465" s="1">
        <v>5.9523809499999998E-3</v>
      </c>
      <c r="F465">
        <v>4</v>
      </c>
      <c r="G465">
        <v>1</v>
      </c>
      <c r="H465" s="4">
        <v>0</v>
      </c>
      <c r="I465">
        <v>2</v>
      </c>
      <c r="J465">
        <v>-2164</v>
      </c>
      <c r="K465">
        <v>0</v>
      </c>
      <c r="L465">
        <v>0</v>
      </c>
      <c r="M465">
        <v>0</v>
      </c>
      <c r="N465">
        <v>0</v>
      </c>
      <c r="O465" t="str">
        <f t="shared" si="22"/>
        <v>C</v>
      </c>
      <c r="P465" t="str">
        <f t="shared" si="23"/>
        <v>T</v>
      </c>
      <c r="Q465">
        <f>IF(M465=0,0,VLOOKUP(M465,'aa codes'!$A$1:'aa codes'!$B$21,2))</f>
        <v>0</v>
      </c>
      <c r="R465">
        <f>IF(N465=0,0,VLOOKUP(N465,'aa codes'!$A$1:'aa codes'!$B$21,2))</f>
        <v>0</v>
      </c>
      <c r="S465" s="1">
        <v>3.78787879E-3</v>
      </c>
      <c r="T465" s="1">
        <v>5.9523809499999998E-3</v>
      </c>
    </row>
    <row r="466" spans="1:20">
      <c r="A466">
        <v>9</v>
      </c>
      <c r="B466">
        <v>135812655</v>
      </c>
      <c r="C466" t="str">
        <f t="shared" si="21"/>
        <v>9:135812655</v>
      </c>
      <c r="D466">
        <v>1</v>
      </c>
      <c r="E466" s="1">
        <v>6.7114093999999999E-3</v>
      </c>
      <c r="F466">
        <v>4</v>
      </c>
      <c r="G466">
        <v>1</v>
      </c>
      <c r="H466" s="4">
        <v>0</v>
      </c>
      <c r="I466">
        <v>2</v>
      </c>
      <c r="J466">
        <v>-2173</v>
      </c>
      <c r="K466">
        <v>0</v>
      </c>
      <c r="L466">
        <v>0</v>
      </c>
      <c r="M466">
        <v>0</v>
      </c>
      <c r="N466">
        <v>0</v>
      </c>
      <c r="O466" t="str">
        <f t="shared" si="22"/>
        <v>A</v>
      </c>
      <c r="P466" t="str">
        <f t="shared" si="23"/>
        <v>T</v>
      </c>
      <c r="Q466">
        <f>IF(M466=0,0,VLOOKUP(M466,'aa codes'!$A$1:'aa codes'!$B$21,2))</f>
        <v>0</v>
      </c>
      <c r="R466">
        <f>IF(N466=0,0,VLOOKUP(N466,'aa codes'!$A$1:'aa codes'!$B$21,2))</f>
        <v>0</v>
      </c>
      <c r="S466" s="1">
        <v>0</v>
      </c>
      <c r="T466" s="1">
        <v>6.7114093999999999E-3</v>
      </c>
    </row>
    <row r="467" spans="1:20">
      <c r="A467">
        <v>9</v>
      </c>
      <c r="B467">
        <v>135812657</v>
      </c>
      <c r="C467" t="str">
        <f t="shared" si="21"/>
        <v>9:135812657</v>
      </c>
      <c r="D467">
        <v>3</v>
      </c>
      <c r="E467" s="1">
        <v>6.4516128999999997E-3</v>
      </c>
      <c r="F467">
        <v>4</v>
      </c>
      <c r="G467">
        <v>1</v>
      </c>
      <c r="H467" s="4">
        <v>3.2299999999999999E-5</v>
      </c>
      <c r="I467">
        <v>2</v>
      </c>
      <c r="J467">
        <v>-2175</v>
      </c>
      <c r="K467">
        <v>0</v>
      </c>
      <c r="L467">
        <v>0</v>
      </c>
      <c r="M467">
        <v>0</v>
      </c>
      <c r="N467">
        <v>0</v>
      </c>
      <c r="O467" t="str">
        <f t="shared" si="22"/>
        <v>C</v>
      </c>
      <c r="P467" t="str">
        <f t="shared" si="23"/>
        <v>T</v>
      </c>
      <c r="Q467">
        <f>IF(M467=0,0,VLOOKUP(M467,'aa codes'!$A$1:'aa codes'!$B$21,2))</f>
        <v>0</v>
      </c>
      <c r="R467">
        <f>IF(N467=0,0,VLOOKUP(N467,'aa codes'!$A$1:'aa codes'!$B$21,2))</f>
        <v>0</v>
      </c>
      <c r="S467" s="1">
        <v>0</v>
      </c>
      <c r="T467" s="1">
        <v>6.4516128999999997E-3</v>
      </c>
    </row>
    <row r="468" spans="1:20">
      <c r="A468">
        <v>9</v>
      </c>
      <c r="B468">
        <v>135812659</v>
      </c>
      <c r="C468" t="str">
        <f t="shared" si="21"/>
        <v>9:135812659</v>
      </c>
      <c r="D468">
        <v>3</v>
      </c>
      <c r="E468" s="1">
        <v>6.4102564099999997E-3</v>
      </c>
      <c r="F468">
        <v>4</v>
      </c>
      <c r="G468">
        <v>1</v>
      </c>
      <c r="H468" s="4">
        <v>0</v>
      </c>
      <c r="I468">
        <v>2</v>
      </c>
      <c r="J468">
        <v>-2177</v>
      </c>
      <c r="K468">
        <v>0</v>
      </c>
      <c r="L468">
        <v>0</v>
      </c>
      <c r="M468">
        <v>0</v>
      </c>
      <c r="N468">
        <v>0</v>
      </c>
      <c r="O468" t="str">
        <f t="shared" si="22"/>
        <v>C</v>
      </c>
      <c r="P468" t="str">
        <f t="shared" si="23"/>
        <v>T</v>
      </c>
      <c r="Q468">
        <f>IF(M468=0,0,VLOOKUP(M468,'aa codes'!$A$1:'aa codes'!$B$21,2))</f>
        <v>0</v>
      </c>
      <c r="R468">
        <f>IF(N468=0,0,VLOOKUP(N468,'aa codes'!$A$1:'aa codes'!$B$21,2))</f>
        <v>0</v>
      </c>
      <c r="S468" s="1">
        <v>0</v>
      </c>
      <c r="T468" s="1">
        <v>6.4102564099999997E-3</v>
      </c>
    </row>
    <row r="469" spans="1:20">
      <c r="A469">
        <v>9</v>
      </c>
      <c r="B469">
        <v>135812660</v>
      </c>
      <c r="C469" t="str">
        <f t="shared" si="21"/>
        <v>9:135812660</v>
      </c>
      <c r="D469">
        <v>1</v>
      </c>
      <c r="E469" s="1">
        <v>6.4102564099999997E-3</v>
      </c>
      <c r="F469">
        <v>2</v>
      </c>
      <c r="G469">
        <v>1</v>
      </c>
      <c r="H469" s="4">
        <v>0</v>
      </c>
      <c r="I469">
        <v>2</v>
      </c>
      <c r="J469">
        <v>-2178</v>
      </c>
      <c r="K469">
        <v>0</v>
      </c>
      <c r="L469">
        <v>0</v>
      </c>
      <c r="M469">
        <v>0</v>
      </c>
      <c r="N469">
        <v>0</v>
      </c>
      <c r="O469" t="str">
        <f t="shared" si="22"/>
        <v>A</v>
      </c>
      <c r="P469" t="str">
        <f t="shared" si="23"/>
        <v>G</v>
      </c>
      <c r="Q469">
        <f>IF(M469=0,0,VLOOKUP(M469,'aa codes'!$A$1:'aa codes'!$B$21,2))</f>
        <v>0</v>
      </c>
      <c r="R469">
        <f>IF(N469=0,0,VLOOKUP(N469,'aa codes'!$A$1:'aa codes'!$B$21,2))</f>
        <v>0</v>
      </c>
      <c r="S469" s="1">
        <v>0</v>
      </c>
      <c r="T469" s="1">
        <v>6.4102564099999997E-3</v>
      </c>
    </row>
    <row r="470" spans="1:20">
      <c r="A470">
        <v>9</v>
      </c>
      <c r="B470">
        <v>135812669</v>
      </c>
      <c r="C470" t="str">
        <f t="shared" si="21"/>
        <v>9:135812669</v>
      </c>
      <c r="D470">
        <v>2</v>
      </c>
      <c r="E470" s="1">
        <v>6.1349693300000001E-3</v>
      </c>
      <c r="F470">
        <v>1</v>
      </c>
      <c r="G470">
        <v>1</v>
      </c>
      <c r="H470" s="4">
        <v>0</v>
      </c>
      <c r="I470">
        <v>2</v>
      </c>
      <c r="J470">
        <v>-2187</v>
      </c>
      <c r="K470">
        <v>0</v>
      </c>
      <c r="L470">
        <v>0</v>
      </c>
      <c r="M470">
        <v>0</v>
      </c>
      <c r="N470">
        <v>0</v>
      </c>
      <c r="O470" t="str">
        <f t="shared" si="22"/>
        <v>G</v>
      </c>
      <c r="P470" t="str">
        <f t="shared" si="23"/>
        <v>A</v>
      </c>
      <c r="Q470">
        <f>IF(M470=0,0,VLOOKUP(M470,'aa codes'!$A$1:'aa codes'!$B$21,2))</f>
        <v>0</v>
      </c>
      <c r="R470">
        <f>IF(N470=0,0,VLOOKUP(N470,'aa codes'!$A$1:'aa codes'!$B$21,2))</f>
        <v>0</v>
      </c>
      <c r="S470" s="1">
        <v>0</v>
      </c>
      <c r="T470" s="1">
        <v>6.1349693300000001E-3</v>
      </c>
    </row>
    <row r="471" spans="1:20">
      <c r="A471">
        <v>9</v>
      </c>
      <c r="B471">
        <v>135812671</v>
      </c>
      <c r="C471" t="str">
        <f t="shared" si="21"/>
        <v>9:135812671</v>
      </c>
      <c r="D471">
        <v>1</v>
      </c>
      <c r="E471" s="1">
        <v>6.2893081799999997E-3</v>
      </c>
      <c r="F471">
        <v>4</v>
      </c>
      <c r="G471">
        <v>1</v>
      </c>
      <c r="H471" s="4">
        <v>0</v>
      </c>
      <c r="I471">
        <v>2</v>
      </c>
      <c r="J471">
        <v>-2189</v>
      </c>
      <c r="K471">
        <v>0</v>
      </c>
      <c r="L471">
        <v>0</v>
      </c>
      <c r="M471">
        <v>0</v>
      </c>
      <c r="N471">
        <v>0</v>
      </c>
      <c r="O471" t="str">
        <f t="shared" si="22"/>
        <v>A</v>
      </c>
      <c r="P471" t="str">
        <f t="shared" si="23"/>
        <v>T</v>
      </c>
      <c r="Q471">
        <f>IF(M471=0,0,VLOOKUP(M471,'aa codes'!$A$1:'aa codes'!$B$21,2))</f>
        <v>0</v>
      </c>
      <c r="R471">
        <f>IF(N471=0,0,VLOOKUP(N471,'aa codes'!$A$1:'aa codes'!$B$21,2))</f>
        <v>0</v>
      </c>
      <c r="S471" s="1">
        <v>0</v>
      </c>
      <c r="T471" s="1">
        <v>6.2893081799999997E-3</v>
      </c>
    </row>
    <row r="472" spans="1:20">
      <c r="A472">
        <v>9</v>
      </c>
      <c r="B472">
        <v>135812681</v>
      </c>
      <c r="C472" t="str">
        <f t="shared" si="21"/>
        <v>9:135812681</v>
      </c>
      <c r="D472">
        <v>3</v>
      </c>
      <c r="E472" s="1">
        <v>6.0975609799999997E-3</v>
      </c>
      <c r="F472">
        <v>4</v>
      </c>
      <c r="G472">
        <v>1</v>
      </c>
      <c r="H472" s="4">
        <v>0</v>
      </c>
      <c r="I472">
        <v>2</v>
      </c>
      <c r="J472">
        <v>-2199</v>
      </c>
      <c r="K472">
        <v>0</v>
      </c>
      <c r="L472">
        <v>0</v>
      </c>
      <c r="M472">
        <v>0</v>
      </c>
      <c r="N472">
        <v>0</v>
      </c>
      <c r="O472" t="str">
        <f t="shared" si="22"/>
        <v>C</v>
      </c>
      <c r="P472" t="str">
        <f t="shared" si="23"/>
        <v>T</v>
      </c>
      <c r="Q472">
        <f>IF(M472=0,0,VLOOKUP(M472,'aa codes'!$A$1:'aa codes'!$B$21,2))</f>
        <v>0</v>
      </c>
      <c r="R472">
        <f>IF(N472=0,0,VLOOKUP(N472,'aa codes'!$A$1:'aa codes'!$B$21,2))</f>
        <v>0</v>
      </c>
      <c r="S472" s="1">
        <v>0</v>
      </c>
      <c r="T472" s="1">
        <v>6.0975609799999997E-3</v>
      </c>
    </row>
    <row r="473" spans="1:20">
      <c r="A473">
        <v>9</v>
      </c>
      <c r="B473">
        <v>135812691</v>
      </c>
      <c r="C473" t="str">
        <f t="shared" si="21"/>
        <v>9:135812691</v>
      </c>
      <c r="D473">
        <v>2</v>
      </c>
      <c r="E473" s="1">
        <v>5.98802395E-3</v>
      </c>
      <c r="F473">
        <v>1</v>
      </c>
      <c r="G473">
        <v>1</v>
      </c>
      <c r="H473" s="4">
        <v>0</v>
      </c>
      <c r="I473">
        <v>2</v>
      </c>
      <c r="J473">
        <v>-2209</v>
      </c>
      <c r="K473">
        <v>0</v>
      </c>
      <c r="L473">
        <v>0</v>
      </c>
      <c r="M473">
        <v>0</v>
      </c>
      <c r="N473">
        <v>0</v>
      </c>
      <c r="O473" t="str">
        <f t="shared" si="22"/>
        <v>G</v>
      </c>
      <c r="P473" t="str">
        <f t="shared" si="23"/>
        <v>A</v>
      </c>
      <c r="Q473">
        <f>IF(M473=0,0,VLOOKUP(M473,'aa codes'!$A$1:'aa codes'!$B$21,2))</f>
        <v>0</v>
      </c>
      <c r="R473">
        <f>IF(N473=0,0,VLOOKUP(N473,'aa codes'!$A$1:'aa codes'!$B$21,2))</f>
        <v>0</v>
      </c>
      <c r="S473" s="1">
        <v>0</v>
      </c>
      <c r="T473" s="1">
        <v>5.98802395E-3</v>
      </c>
    </row>
    <row r="474" spans="1:20">
      <c r="A474">
        <v>9</v>
      </c>
      <c r="B474">
        <v>135812698</v>
      </c>
      <c r="C474" t="str">
        <f t="shared" si="21"/>
        <v>9:135812698</v>
      </c>
      <c r="D474">
        <v>3</v>
      </c>
      <c r="E474" s="1">
        <v>6.4935064900000002E-3</v>
      </c>
      <c r="F474">
        <v>4</v>
      </c>
      <c r="G474">
        <v>1</v>
      </c>
      <c r="H474" s="4">
        <v>0</v>
      </c>
      <c r="I474">
        <v>2</v>
      </c>
      <c r="J474">
        <v>-2216</v>
      </c>
      <c r="K474">
        <v>0</v>
      </c>
      <c r="L474">
        <v>0</v>
      </c>
      <c r="M474">
        <v>0</v>
      </c>
      <c r="N474">
        <v>0</v>
      </c>
      <c r="O474" t="str">
        <f t="shared" si="22"/>
        <v>C</v>
      </c>
      <c r="P474" t="str">
        <f t="shared" si="23"/>
        <v>T</v>
      </c>
      <c r="Q474">
        <f>IF(M474=0,0,VLOOKUP(M474,'aa codes'!$A$1:'aa codes'!$B$21,2))</f>
        <v>0</v>
      </c>
      <c r="R474">
        <f>IF(N474=0,0,VLOOKUP(N474,'aa codes'!$A$1:'aa codes'!$B$21,2))</f>
        <v>0</v>
      </c>
      <c r="S474" s="1">
        <v>0</v>
      </c>
      <c r="T474" s="1">
        <v>6.4935064900000002E-3</v>
      </c>
    </row>
    <row r="475" spans="1:20">
      <c r="A475">
        <v>9</v>
      </c>
      <c r="B475">
        <v>135812699</v>
      </c>
      <c r="C475" t="str">
        <f t="shared" si="21"/>
        <v>9:135812699</v>
      </c>
      <c r="D475">
        <v>1</v>
      </c>
      <c r="E475" s="1">
        <v>1.2987013E-2</v>
      </c>
      <c r="F475">
        <v>2</v>
      </c>
      <c r="G475">
        <v>1</v>
      </c>
      <c r="H475" s="4">
        <v>0</v>
      </c>
      <c r="I475">
        <v>2</v>
      </c>
      <c r="J475">
        <v>-2217</v>
      </c>
      <c r="K475">
        <v>0</v>
      </c>
      <c r="L475">
        <v>0</v>
      </c>
      <c r="M475">
        <v>0</v>
      </c>
      <c r="N475">
        <v>0</v>
      </c>
      <c r="O475" t="str">
        <f t="shared" si="22"/>
        <v>A</v>
      </c>
      <c r="P475" t="str">
        <f t="shared" si="23"/>
        <v>G</v>
      </c>
      <c r="Q475">
        <f>IF(M475=0,0,VLOOKUP(M475,'aa codes'!$A$1:'aa codes'!$B$21,2))</f>
        <v>0</v>
      </c>
      <c r="R475">
        <f>IF(N475=0,0,VLOOKUP(N475,'aa codes'!$A$1:'aa codes'!$B$21,2))</f>
        <v>0</v>
      </c>
      <c r="S475" s="1">
        <v>0</v>
      </c>
      <c r="T475" s="1">
        <v>1.2987013E-2</v>
      </c>
    </row>
    <row r="476" spans="1:20">
      <c r="A476">
        <v>9</v>
      </c>
      <c r="B476">
        <v>135812702</v>
      </c>
      <c r="C476" t="str">
        <f t="shared" si="21"/>
        <v>9:135812702</v>
      </c>
      <c r="D476">
        <v>4</v>
      </c>
      <c r="E476" s="1">
        <v>6.5789473700000002E-3</v>
      </c>
      <c r="F476">
        <v>3</v>
      </c>
      <c r="G476">
        <v>1</v>
      </c>
      <c r="H476" s="4">
        <v>0</v>
      </c>
      <c r="I476">
        <v>2</v>
      </c>
      <c r="J476">
        <v>-2220</v>
      </c>
      <c r="K476">
        <v>0</v>
      </c>
      <c r="L476">
        <v>0</v>
      </c>
      <c r="M476">
        <v>0</v>
      </c>
      <c r="N476">
        <v>0</v>
      </c>
      <c r="O476" t="str">
        <f t="shared" si="22"/>
        <v>T</v>
      </c>
      <c r="P476" t="str">
        <f t="shared" si="23"/>
        <v>C</v>
      </c>
      <c r="Q476">
        <f>IF(M476=0,0,VLOOKUP(M476,'aa codes'!$A$1:'aa codes'!$B$21,2))</f>
        <v>0</v>
      </c>
      <c r="R476">
        <f>IF(N476=0,0,VLOOKUP(N476,'aa codes'!$A$1:'aa codes'!$B$21,2))</f>
        <v>0</v>
      </c>
      <c r="S476" s="1">
        <v>0</v>
      </c>
      <c r="T476" s="1">
        <v>6.5789473700000002E-3</v>
      </c>
    </row>
    <row r="477" spans="1:20">
      <c r="A477">
        <v>9</v>
      </c>
      <c r="B477">
        <v>135812714</v>
      </c>
      <c r="C477" t="str">
        <f t="shared" si="21"/>
        <v>9:135812714</v>
      </c>
      <c r="D477">
        <v>3</v>
      </c>
      <c r="E477" s="1">
        <v>6.4516128999999997E-3</v>
      </c>
      <c r="F477">
        <v>1</v>
      </c>
      <c r="G477">
        <v>1</v>
      </c>
      <c r="H477" s="4">
        <v>0</v>
      </c>
      <c r="I477">
        <v>2</v>
      </c>
      <c r="J477">
        <v>-2232</v>
      </c>
      <c r="K477">
        <v>0</v>
      </c>
      <c r="L477">
        <v>0</v>
      </c>
      <c r="M477">
        <v>0</v>
      </c>
      <c r="N477">
        <v>0</v>
      </c>
      <c r="O477" t="str">
        <f t="shared" si="22"/>
        <v>C</v>
      </c>
      <c r="P477" t="str">
        <f t="shared" si="23"/>
        <v>A</v>
      </c>
      <c r="Q477">
        <f>IF(M477=0,0,VLOOKUP(M477,'aa codes'!$A$1:'aa codes'!$B$21,2))</f>
        <v>0</v>
      </c>
      <c r="R477">
        <f>IF(N477=0,0,VLOOKUP(N477,'aa codes'!$A$1:'aa codes'!$B$21,2))</f>
        <v>0</v>
      </c>
      <c r="S477" s="1">
        <v>0</v>
      </c>
      <c r="T477" s="1">
        <v>6.4516128999999997E-3</v>
      </c>
    </row>
    <row r="478" spans="1:20">
      <c r="A478">
        <v>9</v>
      </c>
      <c r="B478">
        <v>135813218</v>
      </c>
      <c r="C478" t="str">
        <f t="shared" si="21"/>
        <v>9:135813218</v>
      </c>
      <c r="D478">
        <v>3</v>
      </c>
      <c r="E478" s="1">
        <v>6.2111801199999997E-3</v>
      </c>
      <c r="F478">
        <v>4</v>
      </c>
      <c r="G478">
        <v>1</v>
      </c>
      <c r="H478" s="4">
        <v>0</v>
      </c>
      <c r="I478">
        <v>2</v>
      </c>
      <c r="J478">
        <v>-2736</v>
      </c>
      <c r="K478">
        <v>0</v>
      </c>
      <c r="L478">
        <v>0</v>
      </c>
      <c r="M478">
        <v>0</v>
      </c>
      <c r="N478">
        <v>0</v>
      </c>
      <c r="O478" t="str">
        <f t="shared" si="22"/>
        <v>C</v>
      </c>
      <c r="P478" t="str">
        <f t="shared" si="23"/>
        <v>T</v>
      </c>
      <c r="Q478">
        <f>IF(M478=0,0,VLOOKUP(M478,'aa codes'!$A$1:'aa codes'!$B$21,2))</f>
        <v>0</v>
      </c>
      <c r="R478">
        <f>IF(N478=0,0,VLOOKUP(N478,'aa codes'!$A$1:'aa codes'!$B$21,2))</f>
        <v>0</v>
      </c>
      <c r="S478" s="1">
        <v>0</v>
      </c>
      <c r="T478" s="1">
        <v>6.2111801199999997E-3</v>
      </c>
    </row>
    <row r="479" spans="1:20">
      <c r="A479">
        <v>9</v>
      </c>
      <c r="B479">
        <v>135813219</v>
      </c>
      <c r="C479" t="str">
        <f t="shared" si="21"/>
        <v>9:135813219</v>
      </c>
      <c r="D479">
        <v>1</v>
      </c>
      <c r="E479" s="1">
        <v>6.2695924799999999E-3</v>
      </c>
      <c r="F479">
        <v>2</v>
      </c>
      <c r="G479">
        <v>1</v>
      </c>
      <c r="H479" s="4">
        <v>0</v>
      </c>
      <c r="I479">
        <v>2</v>
      </c>
      <c r="J479">
        <v>-2737</v>
      </c>
      <c r="K479">
        <v>0</v>
      </c>
      <c r="L479">
        <v>0</v>
      </c>
      <c r="M479">
        <v>0</v>
      </c>
      <c r="N479">
        <v>0</v>
      </c>
      <c r="O479" t="str">
        <f t="shared" si="22"/>
        <v>A</v>
      </c>
      <c r="P479" t="str">
        <f t="shared" si="23"/>
        <v>G</v>
      </c>
      <c r="Q479">
        <f>IF(M479=0,0,VLOOKUP(M479,'aa codes'!$A$1:'aa codes'!$B$21,2))</f>
        <v>0</v>
      </c>
      <c r="R479">
        <f>IF(N479=0,0,VLOOKUP(N479,'aa codes'!$A$1:'aa codes'!$B$21,2))</f>
        <v>0</v>
      </c>
      <c r="S479" s="1">
        <v>0</v>
      </c>
      <c r="T479" s="1">
        <v>6.2695924799999999E-3</v>
      </c>
    </row>
    <row r="480" spans="1:20">
      <c r="A480">
        <v>9</v>
      </c>
      <c r="B480">
        <v>135813220</v>
      </c>
      <c r="C480" t="str">
        <f t="shared" si="21"/>
        <v>9:135813220</v>
      </c>
      <c r="D480">
        <v>1</v>
      </c>
      <c r="E480" s="1">
        <v>6.2305295999999996E-3</v>
      </c>
      <c r="F480">
        <v>2</v>
      </c>
      <c r="G480">
        <v>1</v>
      </c>
      <c r="H480" s="4">
        <v>0</v>
      </c>
      <c r="I480">
        <v>2</v>
      </c>
      <c r="J480">
        <v>-2738</v>
      </c>
      <c r="K480">
        <v>0</v>
      </c>
      <c r="L480">
        <v>0</v>
      </c>
      <c r="M480">
        <v>0</v>
      </c>
      <c r="N480">
        <v>0</v>
      </c>
      <c r="O480" t="str">
        <f t="shared" si="22"/>
        <v>A</v>
      </c>
      <c r="P480" t="str">
        <f t="shared" si="23"/>
        <v>G</v>
      </c>
      <c r="Q480">
        <f>IF(M480=0,0,VLOOKUP(M480,'aa codes'!$A$1:'aa codes'!$B$21,2))</f>
        <v>0</v>
      </c>
      <c r="R480">
        <f>IF(N480=0,0,VLOOKUP(N480,'aa codes'!$A$1:'aa codes'!$B$21,2))</f>
        <v>0</v>
      </c>
      <c r="S480" s="1">
        <v>1.7094017099999999E-3</v>
      </c>
      <c r="T480" s="1">
        <v>6.2305295999999996E-3</v>
      </c>
    </row>
    <row r="481" spans="1:20">
      <c r="A481">
        <v>9</v>
      </c>
      <c r="B481">
        <v>135813233</v>
      </c>
      <c r="C481" t="str">
        <f t="shared" si="21"/>
        <v>9:135813233</v>
      </c>
      <c r="D481">
        <v>3</v>
      </c>
      <c r="E481" s="1">
        <v>9.09090909E-3</v>
      </c>
      <c r="F481">
        <v>1</v>
      </c>
      <c r="G481">
        <v>1</v>
      </c>
      <c r="H481" s="4">
        <v>0</v>
      </c>
      <c r="I481">
        <v>2</v>
      </c>
      <c r="J481">
        <v>-2751</v>
      </c>
      <c r="K481">
        <v>0</v>
      </c>
      <c r="L481">
        <v>0</v>
      </c>
      <c r="M481">
        <v>0</v>
      </c>
      <c r="N481">
        <v>0</v>
      </c>
      <c r="O481" t="str">
        <f t="shared" si="22"/>
        <v>C</v>
      </c>
      <c r="P481" t="str">
        <f t="shared" si="23"/>
        <v>A</v>
      </c>
      <c r="Q481">
        <f>IF(M481=0,0,VLOOKUP(M481,'aa codes'!$A$1:'aa codes'!$B$21,2))</f>
        <v>0</v>
      </c>
      <c r="R481">
        <f>IF(N481=0,0,VLOOKUP(N481,'aa codes'!$A$1:'aa codes'!$B$21,2))</f>
        <v>0</v>
      </c>
      <c r="S481" s="1">
        <v>1.66944908E-3</v>
      </c>
      <c r="T481" s="1">
        <v>9.09090909E-3</v>
      </c>
    </row>
    <row r="482" spans="1:20">
      <c r="A482">
        <v>9</v>
      </c>
      <c r="B482">
        <v>135813264</v>
      </c>
      <c r="C482" t="str">
        <f t="shared" si="21"/>
        <v>9:135813264</v>
      </c>
      <c r="D482">
        <v>1</v>
      </c>
      <c r="E482" s="1">
        <v>6.3291139199999997E-3</v>
      </c>
      <c r="F482">
        <v>2</v>
      </c>
      <c r="G482">
        <v>1</v>
      </c>
      <c r="H482" s="4">
        <v>0</v>
      </c>
      <c r="I482">
        <v>2</v>
      </c>
      <c r="J482">
        <v>-2782</v>
      </c>
      <c r="K482">
        <v>0</v>
      </c>
      <c r="L482">
        <v>0</v>
      </c>
      <c r="M482">
        <v>0</v>
      </c>
      <c r="N482">
        <v>0</v>
      </c>
      <c r="O482" t="str">
        <f t="shared" si="22"/>
        <v>A</v>
      </c>
      <c r="P482" t="str">
        <f t="shared" si="23"/>
        <v>G</v>
      </c>
      <c r="Q482">
        <f>IF(M482=0,0,VLOOKUP(M482,'aa codes'!$A$1:'aa codes'!$B$21,2))</f>
        <v>0</v>
      </c>
      <c r="R482">
        <f>IF(N482=0,0,VLOOKUP(N482,'aa codes'!$A$1:'aa codes'!$B$21,2))</f>
        <v>0</v>
      </c>
      <c r="S482" s="1">
        <v>6.3291139199999997E-3</v>
      </c>
      <c r="T482" s="1">
        <v>2.9154519000000002E-3</v>
      </c>
    </row>
    <row r="483" spans="1:20">
      <c r="A483">
        <v>9</v>
      </c>
      <c r="B483">
        <v>135813283</v>
      </c>
      <c r="C483" t="str">
        <f t="shared" si="21"/>
        <v>9:135813283</v>
      </c>
      <c r="D483">
        <v>4</v>
      </c>
      <c r="E483" s="1">
        <v>5.98802395E-3</v>
      </c>
      <c r="F483">
        <v>1</v>
      </c>
      <c r="G483">
        <v>1</v>
      </c>
      <c r="H483" s="4">
        <v>0</v>
      </c>
      <c r="I483">
        <v>2</v>
      </c>
      <c r="J483">
        <v>-2801</v>
      </c>
      <c r="K483">
        <v>0</v>
      </c>
      <c r="L483">
        <v>0</v>
      </c>
      <c r="M483">
        <v>0</v>
      </c>
      <c r="N483">
        <v>0</v>
      </c>
      <c r="O483" t="str">
        <f t="shared" si="22"/>
        <v>T</v>
      </c>
      <c r="P483" t="str">
        <f t="shared" si="23"/>
        <v>A</v>
      </c>
      <c r="Q483">
        <f>IF(M483=0,0,VLOOKUP(M483,'aa codes'!$A$1:'aa codes'!$B$21,2))</f>
        <v>0</v>
      </c>
      <c r="R483">
        <f>IF(N483=0,0,VLOOKUP(N483,'aa codes'!$A$1:'aa codes'!$B$21,2))</f>
        <v>0</v>
      </c>
      <c r="S483" s="1">
        <v>3.27332242E-3</v>
      </c>
      <c r="T483" s="1">
        <v>5.98802395E-3</v>
      </c>
    </row>
    <row r="484" spans="1:20">
      <c r="A484">
        <v>9</v>
      </c>
      <c r="B484">
        <v>135815269</v>
      </c>
      <c r="C484" t="str">
        <f t="shared" si="21"/>
        <v>9:135815269</v>
      </c>
      <c r="D484">
        <v>4</v>
      </c>
      <c r="E484" s="1">
        <v>0.50202429100000001</v>
      </c>
      <c r="F484">
        <v>3</v>
      </c>
      <c r="G484">
        <v>2</v>
      </c>
      <c r="H484" s="4">
        <v>0.6986</v>
      </c>
      <c r="I484">
        <v>1</v>
      </c>
      <c r="J484">
        <v>4661</v>
      </c>
      <c r="K484">
        <v>0</v>
      </c>
      <c r="L484">
        <v>0</v>
      </c>
      <c r="M484">
        <v>0</v>
      </c>
      <c r="N484">
        <v>0</v>
      </c>
      <c r="O484" t="str">
        <f t="shared" si="22"/>
        <v>T</v>
      </c>
      <c r="P484" t="str">
        <f t="shared" si="23"/>
        <v>C</v>
      </c>
      <c r="Q484">
        <f>IF(M484=0,0,VLOOKUP(M484,'aa codes'!$A$1:'aa codes'!$B$21,2))</f>
        <v>0</v>
      </c>
      <c r="R484">
        <f>IF(N484=0,0,VLOOKUP(N484,'aa codes'!$A$1:'aa codes'!$B$21,2))</f>
        <v>0</v>
      </c>
      <c r="S484" s="1">
        <v>0.50202429100000001</v>
      </c>
      <c r="T484" s="1">
        <v>0.45248227000000002</v>
      </c>
    </row>
    <row r="485" spans="1:20">
      <c r="A485">
        <v>9</v>
      </c>
      <c r="B485">
        <v>135815474</v>
      </c>
      <c r="C485" t="str">
        <f t="shared" si="21"/>
        <v>9:135815474</v>
      </c>
      <c r="D485">
        <v>4</v>
      </c>
      <c r="E485" s="1">
        <v>0.52719033199999998</v>
      </c>
      <c r="F485">
        <v>2</v>
      </c>
      <c r="G485">
        <v>2</v>
      </c>
      <c r="H485" s="4">
        <v>0.42720000000000002</v>
      </c>
      <c r="I485">
        <v>1</v>
      </c>
      <c r="J485">
        <v>4456</v>
      </c>
      <c r="K485">
        <v>0</v>
      </c>
      <c r="L485">
        <v>0</v>
      </c>
      <c r="M485">
        <v>0</v>
      </c>
      <c r="N485">
        <v>0</v>
      </c>
      <c r="O485" t="str">
        <f t="shared" si="22"/>
        <v>T</v>
      </c>
      <c r="P485" t="str">
        <f t="shared" si="23"/>
        <v>G</v>
      </c>
      <c r="Q485">
        <f>IF(M485=0,0,VLOOKUP(M485,'aa codes'!$A$1:'aa codes'!$B$21,2))</f>
        <v>0</v>
      </c>
      <c r="R485">
        <f>IF(N485=0,0,VLOOKUP(N485,'aa codes'!$A$1:'aa codes'!$B$21,2))</f>
        <v>0</v>
      </c>
      <c r="S485" s="1">
        <v>0.47847847799999998</v>
      </c>
      <c r="T485" s="1">
        <v>0.52719033199999998</v>
      </c>
    </row>
    <row r="486" spans="1:20">
      <c r="A486">
        <v>9</v>
      </c>
      <c r="B486">
        <v>135815625</v>
      </c>
      <c r="C486" t="str">
        <f t="shared" si="21"/>
        <v>9:135815625</v>
      </c>
      <c r="D486">
        <v>4</v>
      </c>
      <c r="E486" s="1">
        <v>1.30718954E-2</v>
      </c>
      <c r="F486">
        <v>2</v>
      </c>
      <c r="G486">
        <v>1</v>
      </c>
      <c r="H486" s="4">
        <v>0</v>
      </c>
      <c r="I486">
        <v>1</v>
      </c>
      <c r="J486">
        <v>4305</v>
      </c>
      <c r="K486">
        <v>0</v>
      </c>
      <c r="L486">
        <v>0</v>
      </c>
      <c r="M486">
        <v>0</v>
      </c>
      <c r="N486">
        <v>0</v>
      </c>
      <c r="O486" t="str">
        <f t="shared" si="22"/>
        <v>T</v>
      </c>
      <c r="P486" t="str">
        <f t="shared" si="23"/>
        <v>G</v>
      </c>
      <c r="Q486">
        <f>IF(M486=0,0,VLOOKUP(M486,'aa codes'!$A$1:'aa codes'!$B$21,2))</f>
        <v>0</v>
      </c>
      <c r="R486">
        <f>IF(N486=0,0,VLOOKUP(N486,'aa codes'!$A$1:'aa codes'!$B$21,2))</f>
        <v>0</v>
      </c>
      <c r="S486" s="1">
        <v>3.2327586200000002E-3</v>
      </c>
      <c r="T486" s="1">
        <v>1.30718954E-2</v>
      </c>
    </row>
    <row r="487" spans="1:20">
      <c r="A487">
        <v>9</v>
      </c>
      <c r="B487">
        <v>135815627</v>
      </c>
      <c r="C487" t="str">
        <f t="shared" si="21"/>
        <v>9:135815627</v>
      </c>
      <c r="D487">
        <v>1</v>
      </c>
      <c r="E487" s="1">
        <v>1.67597765E-2</v>
      </c>
      <c r="F487">
        <v>4</v>
      </c>
      <c r="G487">
        <v>2</v>
      </c>
      <c r="H487" s="4">
        <v>0</v>
      </c>
      <c r="I487">
        <v>1</v>
      </c>
      <c r="J487">
        <v>4303</v>
      </c>
      <c r="K487">
        <v>0</v>
      </c>
      <c r="L487">
        <v>0</v>
      </c>
      <c r="M487">
        <v>0</v>
      </c>
      <c r="N487">
        <v>0</v>
      </c>
      <c r="O487" t="str">
        <f t="shared" si="22"/>
        <v>A</v>
      </c>
      <c r="P487" t="str">
        <f t="shared" si="23"/>
        <v>T</v>
      </c>
      <c r="Q487">
        <f>IF(M487=0,0,VLOOKUP(M487,'aa codes'!$A$1:'aa codes'!$B$21,2))</f>
        <v>0</v>
      </c>
      <c r="R487">
        <f>IF(N487=0,0,VLOOKUP(N487,'aa codes'!$A$1:'aa codes'!$B$21,2))</f>
        <v>0</v>
      </c>
      <c r="S487" s="1">
        <v>1.5681543999999999E-2</v>
      </c>
      <c r="T487" s="1">
        <v>1.67597765E-2</v>
      </c>
    </row>
    <row r="488" spans="1:20">
      <c r="A488">
        <v>9</v>
      </c>
      <c r="B488">
        <v>135815640</v>
      </c>
      <c r="C488" t="str">
        <f t="shared" si="21"/>
        <v>9:135815640</v>
      </c>
      <c r="D488">
        <v>1</v>
      </c>
      <c r="E488" s="1">
        <v>2.8526149000000001E-2</v>
      </c>
      <c r="F488">
        <v>2</v>
      </c>
      <c r="G488">
        <v>2</v>
      </c>
      <c r="H488" s="4">
        <v>0</v>
      </c>
      <c r="I488">
        <v>1</v>
      </c>
      <c r="J488">
        <v>4290</v>
      </c>
      <c r="K488">
        <v>0</v>
      </c>
      <c r="L488">
        <v>0</v>
      </c>
      <c r="M488">
        <v>0</v>
      </c>
      <c r="N488">
        <v>0</v>
      </c>
      <c r="O488" t="str">
        <f t="shared" si="22"/>
        <v>A</v>
      </c>
      <c r="P488" t="str">
        <f t="shared" si="23"/>
        <v>G</v>
      </c>
      <c r="Q488">
        <f>IF(M488=0,0,VLOOKUP(M488,'aa codes'!$A$1:'aa codes'!$B$21,2))</f>
        <v>0</v>
      </c>
      <c r="R488">
        <f>IF(N488=0,0,VLOOKUP(N488,'aa codes'!$A$1:'aa codes'!$B$21,2))</f>
        <v>0</v>
      </c>
      <c r="S488" s="1">
        <v>2.1920668099999999E-2</v>
      </c>
      <c r="T488" s="1">
        <v>2.8526149000000001E-2</v>
      </c>
    </row>
    <row r="489" spans="1:20">
      <c r="A489">
        <v>9</v>
      </c>
      <c r="B489">
        <v>135815641</v>
      </c>
      <c r="C489" t="str">
        <f t="shared" si="21"/>
        <v>9:135815641</v>
      </c>
      <c r="D489">
        <v>2</v>
      </c>
      <c r="E489" s="1">
        <v>2.7027026999999999E-2</v>
      </c>
      <c r="F489">
        <v>4</v>
      </c>
      <c r="G489">
        <v>2</v>
      </c>
      <c r="H489" s="4">
        <v>0</v>
      </c>
      <c r="I489">
        <v>1</v>
      </c>
      <c r="J489">
        <v>4289</v>
      </c>
      <c r="K489">
        <v>0</v>
      </c>
      <c r="L489">
        <v>0</v>
      </c>
      <c r="M489">
        <v>0</v>
      </c>
      <c r="N489">
        <v>0</v>
      </c>
      <c r="O489" t="str">
        <f t="shared" si="22"/>
        <v>G</v>
      </c>
      <c r="P489" t="str">
        <f t="shared" si="23"/>
        <v>T</v>
      </c>
      <c r="Q489">
        <f>IF(M489=0,0,VLOOKUP(M489,'aa codes'!$A$1:'aa codes'!$B$21,2))</f>
        <v>0</v>
      </c>
      <c r="R489">
        <f>IF(N489=0,0,VLOOKUP(N489,'aa codes'!$A$1:'aa codes'!$B$21,2))</f>
        <v>0</v>
      </c>
      <c r="S489" s="1">
        <v>1.80275716E-2</v>
      </c>
      <c r="T489" s="1">
        <v>2.7027026999999999E-2</v>
      </c>
    </row>
    <row r="490" spans="1:20">
      <c r="A490">
        <v>9</v>
      </c>
      <c r="B490">
        <v>135815642</v>
      </c>
      <c r="C490" t="str">
        <f t="shared" si="21"/>
        <v>9:135815642</v>
      </c>
      <c r="D490">
        <v>4</v>
      </c>
      <c r="E490" s="1">
        <v>1.1146496800000001E-2</v>
      </c>
      <c r="F490">
        <v>2</v>
      </c>
      <c r="G490">
        <v>2</v>
      </c>
      <c r="H490" s="4">
        <v>0</v>
      </c>
      <c r="I490">
        <v>1</v>
      </c>
      <c r="J490">
        <v>4288</v>
      </c>
      <c r="K490">
        <v>0</v>
      </c>
      <c r="L490">
        <v>0</v>
      </c>
      <c r="M490">
        <v>0</v>
      </c>
      <c r="N490">
        <v>0</v>
      </c>
      <c r="O490" t="str">
        <f t="shared" si="22"/>
        <v>T</v>
      </c>
      <c r="P490" t="str">
        <f t="shared" si="23"/>
        <v>G</v>
      </c>
      <c r="Q490">
        <f>IF(M490=0,0,VLOOKUP(M490,'aa codes'!$A$1:'aa codes'!$B$21,2))</f>
        <v>0</v>
      </c>
      <c r="R490">
        <f>IF(N490=0,0,VLOOKUP(N490,'aa codes'!$A$1:'aa codes'!$B$21,2))</f>
        <v>0</v>
      </c>
      <c r="S490" s="1">
        <v>1.05485232E-2</v>
      </c>
      <c r="T490" s="1">
        <v>1.1146496800000001E-2</v>
      </c>
    </row>
    <row r="491" spans="1:20">
      <c r="A491">
        <v>9</v>
      </c>
      <c r="B491">
        <v>135816568</v>
      </c>
      <c r="C491" t="str">
        <f t="shared" si="21"/>
        <v>9:135816568</v>
      </c>
      <c r="D491">
        <v>3</v>
      </c>
      <c r="E491" s="1">
        <v>6.3761955399999999E-3</v>
      </c>
      <c r="F491">
        <v>4</v>
      </c>
      <c r="G491">
        <v>1</v>
      </c>
      <c r="H491" s="4">
        <v>0</v>
      </c>
      <c r="I491">
        <v>1</v>
      </c>
      <c r="J491">
        <v>3362</v>
      </c>
      <c r="K491">
        <v>0</v>
      </c>
      <c r="L491">
        <v>0</v>
      </c>
      <c r="M491">
        <v>0</v>
      </c>
      <c r="N491">
        <v>0</v>
      </c>
      <c r="O491" t="str">
        <f t="shared" si="22"/>
        <v>C</v>
      </c>
      <c r="P491" t="str">
        <f t="shared" si="23"/>
        <v>T</v>
      </c>
      <c r="Q491">
        <f>IF(M491=0,0,VLOOKUP(M491,'aa codes'!$A$1:'aa codes'!$B$21,2))</f>
        <v>0</v>
      </c>
      <c r="R491">
        <f>IF(N491=0,0,VLOOKUP(N491,'aa codes'!$A$1:'aa codes'!$B$21,2))</f>
        <v>0</v>
      </c>
      <c r="S491" s="1">
        <v>6.3761955399999999E-3</v>
      </c>
      <c r="T491" s="1">
        <v>0</v>
      </c>
    </row>
    <row r="492" spans="1:20">
      <c r="A492">
        <v>9</v>
      </c>
      <c r="B492">
        <v>135818616</v>
      </c>
      <c r="C492" t="str">
        <f t="shared" si="21"/>
        <v>9:135818616</v>
      </c>
      <c r="D492">
        <v>4</v>
      </c>
      <c r="E492" s="1">
        <v>9.8231827099999995E-3</v>
      </c>
      <c r="F492">
        <v>1</v>
      </c>
      <c r="G492">
        <v>1</v>
      </c>
      <c r="H492" s="4">
        <v>0</v>
      </c>
      <c r="I492">
        <v>1</v>
      </c>
      <c r="J492">
        <v>1314</v>
      </c>
      <c r="K492">
        <v>0</v>
      </c>
      <c r="L492">
        <v>0</v>
      </c>
      <c r="M492">
        <v>0</v>
      </c>
      <c r="N492">
        <v>0</v>
      </c>
      <c r="O492" t="str">
        <f t="shared" si="22"/>
        <v>T</v>
      </c>
      <c r="P492" t="str">
        <f t="shared" si="23"/>
        <v>A</v>
      </c>
      <c r="Q492">
        <f>IF(M492=0,0,VLOOKUP(M492,'aa codes'!$A$1:'aa codes'!$B$21,2))</f>
        <v>0</v>
      </c>
      <c r="R492">
        <f>IF(N492=0,0,VLOOKUP(N492,'aa codes'!$A$1:'aa codes'!$B$21,2))</f>
        <v>0</v>
      </c>
      <c r="S492" s="1">
        <v>0</v>
      </c>
      <c r="T492" s="1">
        <v>9.8231827099999995E-3</v>
      </c>
    </row>
    <row r="493" spans="1:20">
      <c r="A493">
        <v>9</v>
      </c>
      <c r="B493">
        <v>135818619</v>
      </c>
      <c r="C493" t="str">
        <f t="shared" si="21"/>
        <v>9:135818619</v>
      </c>
      <c r="D493">
        <v>1</v>
      </c>
      <c r="E493" s="1">
        <v>2.7334851899999998E-2</v>
      </c>
      <c r="F493">
        <v>4</v>
      </c>
      <c r="G493">
        <v>2</v>
      </c>
      <c r="H493" s="4">
        <v>0</v>
      </c>
      <c r="I493">
        <v>1</v>
      </c>
      <c r="J493">
        <v>1311</v>
      </c>
      <c r="K493">
        <v>0</v>
      </c>
      <c r="L493">
        <v>0</v>
      </c>
      <c r="M493">
        <v>0</v>
      </c>
      <c r="N493">
        <v>0</v>
      </c>
      <c r="O493" t="str">
        <f t="shared" si="22"/>
        <v>A</v>
      </c>
      <c r="P493" t="str">
        <f t="shared" si="23"/>
        <v>T</v>
      </c>
      <c r="Q493">
        <f>IF(M493=0,0,VLOOKUP(M493,'aa codes'!$A$1:'aa codes'!$B$21,2))</f>
        <v>0</v>
      </c>
      <c r="R493">
        <f>IF(N493=0,0,VLOOKUP(N493,'aa codes'!$A$1:'aa codes'!$B$21,2))</f>
        <v>0</v>
      </c>
      <c r="S493" s="1">
        <v>1.54639175E-2</v>
      </c>
      <c r="T493" s="1">
        <v>2.7334851899999998E-2</v>
      </c>
    </row>
    <row r="494" spans="1:20">
      <c r="A494">
        <v>9</v>
      </c>
      <c r="B494">
        <v>135818631</v>
      </c>
      <c r="C494" t="str">
        <f t="shared" si="21"/>
        <v>9:135818631</v>
      </c>
      <c r="D494">
        <v>1</v>
      </c>
      <c r="E494" s="1">
        <v>5.5970149299999997E-3</v>
      </c>
      <c r="F494">
        <v>2</v>
      </c>
      <c r="G494">
        <v>1</v>
      </c>
      <c r="H494" s="4">
        <v>0</v>
      </c>
      <c r="I494">
        <v>1</v>
      </c>
      <c r="J494">
        <v>1299</v>
      </c>
      <c r="K494">
        <v>0</v>
      </c>
      <c r="L494">
        <v>0</v>
      </c>
      <c r="M494">
        <v>0</v>
      </c>
      <c r="N494">
        <v>0</v>
      </c>
      <c r="O494" t="str">
        <f t="shared" si="22"/>
        <v>A</v>
      </c>
      <c r="P494" t="str">
        <f t="shared" si="23"/>
        <v>G</v>
      </c>
      <c r="Q494">
        <f>IF(M494=0,0,VLOOKUP(M494,'aa codes'!$A$1:'aa codes'!$B$21,2))</f>
        <v>0</v>
      </c>
      <c r="R494">
        <f>IF(N494=0,0,VLOOKUP(N494,'aa codes'!$A$1:'aa codes'!$B$21,2))</f>
        <v>0</v>
      </c>
      <c r="S494" s="1">
        <v>0</v>
      </c>
      <c r="T494" s="1">
        <v>5.5970149299999997E-3</v>
      </c>
    </row>
    <row r="495" spans="1:20">
      <c r="A495">
        <v>9</v>
      </c>
      <c r="B495">
        <v>135818632</v>
      </c>
      <c r="C495" t="str">
        <f t="shared" si="21"/>
        <v>9:135818632</v>
      </c>
      <c r="D495">
        <v>1</v>
      </c>
      <c r="E495" s="1">
        <v>1.5094339599999999E-2</v>
      </c>
      <c r="F495">
        <v>2</v>
      </c>
      <c r="G495">
        <v>2</v>
      </c>
      <c r="H495" s="4">
        <v>0</v>
      </c>
      <c r="I495">
        <v>1</v>
      </c>
      <c r="J495">
        <v>1298</v>
      </c>
      <c r="K495">
        <v>0</v>
      </c>
      <c r="L495">
        <v>0</v>
      </c>
      <c r="M495">
        <v>0</v>
      </c>
      <c r="N495">
        <v>0</v>
      </c>
      <c r="O495" t="str">
        <f t="shared" si="22"/>
        <v>A</v>
      </c>
      <c r="P495" t="str">
        <f t="shared" si="23"/>
        <v>G</v>
      </c>
      <c r="Q495">
        <f>IF(M495=0,0,VLOOKUP(M495,'aa codes'!$A$1:'aa codes'!$B$21,2))</f>
        <v>0</v>
      </c>
      <c r="R495">
        <f>IF(N495=0,0,VLOOKUP(N495,'aa codes'!$A$1:'aa codes'!$B$21,2))</f>
        <v>0</v>
      </c>
      <c r="S495" s="1">
        <v>5.8479532200000003E-3</v>
      </c>
      <c r="T495" s="1">
        <v>1.5094339599999999E-2</v>
      </c>
    </row>
    <row r="496" spans="1:20">
      <c r="A496">
        <v>9</v>
      </c>
      <c r="B496">
        <v>135818633</v>
      </c>
      <c r="C496" t="str">
        <f t="shared" si="21"/>
        <v>9:135818633</v>
      </c>
      <c r="D496">
        <v>2</v>
      </c>
      <c r="E496" s="1">
        <v>2.48618785E-2</v>
      </c>
      <c r="F496">
        <v>1</v>
      </c>
      <c r="G496">
        <v>2</v>
      </c>
      <c r="H496" s="4">
        <v>0</v>
      </c>
      <c r="I496">
        <v>1</v>
      </c>
      <c r="J496">
        <v>1297</v>
      </c>
      <c r="K496">
        <v>0</v>
      </c>
      <c r="L496">
        <v>0</v>
      </c>
      <c r="M496">
        <v>0</v>
      </c>
      <c r="N496">
        <v>0</v>
      </c>
      <c r="O496" t="str">
        <f t="shared" si="22"/>
        <v>G</v>
      </c>
      <c r="P496" t="str">
        <f t="shared" si="23"/>
        <v>A</v>
      </c>
      <c r="Q496">
        <f>IF(M496=0,0,VLOOKUP(M496,'aa codes'!$A$1:'aa codes'!$B$21,2))</f>
        <v>0</v>
      </c>
      <c r="R496">
        <f>IF(N496=0,0,VLOOKUP(N496,'aa codes'!$A$1:'aa codes'!$B$21,2))</f>
        <v>0</v>
      </c>
      <c r="S496" s="1">
        <v>2.48618785E-2</v>
      </c>
      <c r="T496" s="1">
        <v>1.72043011E-2</v>
      </c>
    </row>
    <row r="497" spans="1:20">
      <c r="A497">
        <v>9</v>
      </c>
      <c r="B497">
        <v>135818635</v>
      </c>
      <c r="C497" t="str">
        <f t="shared" si="21"/>
        <v>9:135818635</v>
      </c>
      <c r="D497">
        <v>3</v>
      </c>
      <c r="E497" s="1">
        <v>5.5325034600000001E-3</v>
      </c>
      <c r="F497">
        <v>1</v>
      </c>
      <c r="G497">
        <v>1</v>
      </c>
      <c r="H497" s="4">
        <v>0</v>
      </c>
      <c r="I497">
        <v>1</v>
      </c>
      <c r="J497">
        <v>1295</v>
      </c>
      <c r="K497">
        <v>0</v>
      </c>
      <c r="L497">
        <v>0</v>
      </c>
      <c r="M497">
        <v>0</v>
      </c>
      <c r="N497">
        <v>0</v>
      </c>
      <c r="O497" t="str">
        <f t="shared" si="22"/>
        <v>C</v>
      </c>
      <c r="P497" t="str">
        <f t="shared" si="23"/>
        <v>A</v>
      </c>
      <c r="Q497">
        <f>IF(M497=0,0,VLOOKUP(M497,'aa codes'!$A$1:'aa codes'!$B$21,2))</f>
        <v>0</v>
      </c>
      <c r="R497">
        <f>IF(N497=0,0,VLOOKUP(N497,'aa codes'!$A$1:'aa codes'!$B$21,2))</f>
        <v>0</v>
      </c>
      <c r="S497" s="1">
        <v>5.5325034600000001E-3</v>
      </c>
      <c r="T497" s="1">
        <v>4.3010752700000003E-3</v>
      </c>
    </row>
    <row r="498" spans="1:20">
      <c r="A498">
        <v>9</v>
      </c>
      <c r="B498">
        <v>135818637</v>
      </c>
      <c r="C498" t="str">
        <f t="shared" si="21"/>
        <v>9:135818637</v>
      </c>
      <c r="D498">
        <v>2</v>
      </c>
      <c r="E498" s="1">
        <v>1.5894039700000001E-2</v>
      </c>
      <c r="F498">
        <v>1</v>
      </c>
      <c r="G498">
        <v>2</v>
      </c>
      <c r="H498" s="4">
        <v>0</v>
      </c>
      <c r="I498">
        <v>1</v>
      </c>
      <c r="J498">
        <v>1293</v>
      </c>
      <c r="K498">
        <v>0</v>
      </c>
      <c r="L498">
        <v>0</v>
      </c>
      <c r="M498">
        <v>0</v>
      </c>
      <c r="N498">
        <v>0</v>
      </c>
      <c r="O498" t="str">
        <f t="shared" si="22"/>
        <v>G</v>
      </c>
      <c r="P498" t="str">
        <f t="shared" si="23"/>
        <v>A</v>
      </c>
      <c r="Q498">
        <f>IF(M498=0,0,VLOOKUP(M498,'aa codes'!$A$1:'aa codes'!$B$21,2))</f>
        <v>0</v>
      </c>
      <c r="R498">
        <f>IF(N498=0,0,VLOOKUP(N498,'aa codes'!$A$1:'aa codes'!$B$21,2))</f>
        <v>0</v>
      </c>
      <c r="S498" s="1">
        <v>1.5894039700000001E-2</v>
      </c>
      <c r="T498" s="1">
        <v>6.2500000000000003E-3</v>
      </c>
    </row>
    <row r="499" spans="1:20">
      <c r="A499">
        <v>9</v>
      </c>
      <c r="B499">
        <v>135818649</v>
      </c>
      <c r="C499" t="str">
        <f t="shared" si="21"/>
        <v>9:135818649</v>
      </c>
      <c r="D499">
        <v>2</v>
      </c>
      <c r="E499" s="1">
        <v>5.1746442399999999E-3</v>
      </c>
      <c r="F499">
        <v>4</v>
      </c>
      <c r="G499">
        <v>1</v>
      </c>
      <c r="H499" s="4">
        <v>0</v>
      </c>
      <c r="I499">
        <v>1</v>
      </c>
      <c r="J499">
        <v>1281</v>
      </c>
      <c r="K499">
        <v>0</v>
      </c>
      <c r="L499">
        <v>0</v>
      </c>
      <c r="M499">
        <v>0</v>
      </c>
      <c r="N499">
        <v>0</v>
      </c>
      <c r="O499" t="str">
        <f t="shared" si="22"/>
        <v>G</v>
      </c>
      <c r="P499" t="str">
        <f t="shared" si="23"/>
        <v>T</v>
      </c>
      <c r="Q499">
        <f>IF(M499=0,0,VLOOKUP(M499,'aa codes'!$A$1:'aa codes'!$B$21,2))</f>
        <v>0</v>
      </c>
      <c r="R499">
        <f>IF(N499=0,0,VLOOKUP(N499,'aa codes'!$A$1:'aa codes'!$B$21,2))</f>
        <v>0</v>
      </c>
      <c r="S499" s="1">
        <v>5.1746442399999999E-3</v>
      </c>
      <c r="T499" s="1">
        <v>0</v>
      </c>
    </row>
    <row r="500" spans="1:20">
      <c r="A500">
        <v>9</v>
      </c>
      <c r="B500">
        <v>135818662</v>
      </c>
      <c r="C500" t="str">
        <f t="shared" si="21"/>
        <v>9:135818662</v>
      </c>
      <c r="D500">
        <v>3</v>
      </c>
      <c r="E500" s="1">
        <v>8.6767895899999992E-3</v>
      </c>
      <c r="F500">
        <v>4</v>
      </c>
      <c r="G500">
        <v>1</v>
      </c>
      <c r="H500" s="4">
        <v>7.4739999999999995E-4</v>
      </c>
      <c r="I500">
        <v>1</v>
      </c>
      <c r="J500">
        <v>1268</v>
      </c>
      <c r="K500">
        <v>0</v>
      </c>
      <c r="L500">
        <v>0</v>
      </c>
      <c r="M500">
        <v>0</v>
      </c>
      <c r="N500">
        <v>0</v>
      </c>
      <c r="O500" t="str">
        <f t="shared" si="22"/>
        <v>C</v>
      </c>
      <c r="P500" t="str">
        <f t="shared" si="23"/>
        <v>T</v>
      </c>
      <c r="Q500">
        <f>IF(M500=0,0,VLOOKUP(M500,'aa codes'!$A$1:'aa codes'!$B$21,2))</f>
        <v>0</v>
      </c>
      <c r="R500">
        <f>IF(N500=0,0,VLOOKUP(N500,'aa codes'!$A$1:'aa codes'!$B$21,2))</f>
        <v>0</v>
      </c>
      <c r="S500" s="1">
        <v>0</v>
      </c>
      <c r="T500" s="1">
        <v>8.6767895899999992E-3</v>
      </c>
    </row>
    <row r="501" spans="1:20">
      <c r="A501">
        <v>9</v>
      </c>
      <c r="B501">
        <v>135818667</v>
      </c>
      <c r="C501" t="str">
        <f t="shared" si="21"/>
        <v>9:135818667</v>
      </c>
      <c r="D501">
        <v>2</v>
      </c>
      <c r="E501" s="1">
        <v>5.97609562E-3</v>
      </c>
      <c r="F501">
        <v>4</v>
      </c>
      <c r="G501">
        <v>1</v>
      </c>
      <c r="H501" s="4">
        <v>0</v>
      </c>
      <c r="I501">
        <v>1</v>
      </c>
      <c r="J501">
        <v>1263</v>
      </c>
      <c r="K501">
        <v>0</v>
      </c>
      <c r="L501">
        <v>0</v>
      </c>
      <c r="M501">
        <v>0</v>
      </c>
      <c r="N501">
        <v>0</v>
      </c>
      <c r="O501" t="str">
        <f t="shared" si="22"/>
        <v>G</v>
      </c>
      <c r="P501" t="str">
        <f t="shared" si="23"/>
        <v>T</v>
      </c>
      <c r="Q501">
        <f>IF(M501=0,0,VLOOKUP(M501,'aa codes'!$A$1:'aa codes'!$B$21,2))</f>
        <v>0</v>
      </c>
      <c r="R501">
        <f>IF(N501=0,0,VLOOKUP(N501,'aa codes'!$A$1:'aa codes'!$B$21,2))</f>
        <v>0</v>
      </c>
      <c r="S501" s="1">
        <v>3.8022813700000001E-3</v>
      </c>
      <c r="T501" s="1">
        <v>5.97609562E-3</v>
      </c>
    </row>
    <row r="502" spans="1:20">
      <c r="A502">
        <v>9</v>
      </c>
      <c r="B502">
        <v>135819436</v>
      </c>
      <c r="C502" t="str">
        <f t="shared" si="21"/>
        <v>9:135819436</v>
      </c>
      <c r="D502">
        <v>2</v>
      </c>
      <c r="E502" s="1">
        <v>5.6285178199999997E-3</v>
      </c>
      <c r="F502">
        <v>1</v>
      </c>
      <c r="G502">
        <v>1</v>
      </c>
      <c r="H502" s="4">
        <v>0</v>
      </c>
      <c r="I502">
        <v>1</v>
      </c>
      <c r="J502">
        <v>494</v>
      </c>
      <c r="K502">
        <v>0</v>
      </c>
      <c r="L502">
        <v>0</v>
      </c>
      <c r="M502">
        <v>0</v>
      </c>
      <c r="N502">
        <v>0</v>
      </c>
      <c r="O502" t="str">
        <f t="shared" si="22"/>
        <v>G</v>
      </c>
      <c r="P502" t="str">
        <f t="shared" si="23"/>
        <v>A</v>
      </c>
      <c r="Q502">
        <f>IF(M502=0,0,VLOOKUP(M502,'aa codes'!$A$1:'aa codes'!$B$21,2))</f>
        <v>0</v>
      </c>
      <c r="R502">
        <f>IF(N502=0,0,VLOOKUP(N502,'aa codes'!$A$1:'aa codes'!$B$21,2))</f>
        <v>0</v>
      </c>
      <c r="S502" s="1">
        <v>0</v>
      </c>
      <c r="T502" s="1">
        <v>5.6285178199999997E-3</v>
      </c>
    </row>
    <row r="503" spans="1:20">
      <c r="A503">
        <v>9</v>
      </c>
      <c r="B503">
        <v>135819883</v>
      </c>
      <c r="C503" t="str">
        <f t="shared" si="21"/>
        <v>9:135819883</v>
      </c>
      <c r="D503">
        <v>3</v>
      </c>
      <c r="E503" s="1">
        <v>6.2893081799999997E-3</v>
      </c>
      <c r="F503">
        <v>4</v>
      </c>
      <c r="G503">
        <v>1</v>
      </c>
      <c r="H503" s="4">
        <v>0</v>
      </c>
      <c r="I503">
        <v>1</v>
      </c>
      <c r="J503">
        <v>47</v>
      </c>
      <c r="K503">
        <v>0</v>
      </c>
      <c r="L503">
        <v>0</v>
      </c>
      <c r="M503">
        <v>0</v>
      </c>
      <c r="N503">
        <v>0</v>
      </c>
      <c r="O503" t="str">
        <f t="shared" si="22"/>
        <v>C</v>
      </c>
      <c r="P503" t="str">
        <f t="shared" si="23"/>
        <v>T</v>
      </c>
      <c r="Q503">
        <f>IF(M503=0,0,VLOOKUP(M503,'aa codes'!$A$1:'aa codes'!$B$21,2))</f>
        <v>0</v>
      </c>
      <c r="R503">
        <f>IF(N503=0,0,VLOOKUP(N503,'aa codes'!$A$1:'aa codes'!$B$21,2))</f>
        <v>0</v>
      </c>
      <c r="S503" s="1">
        <v>0</v>
      </c>
      <c r="T503" s="1">
        <v>6.2893081799999997E-3</v>
      </c>
    </row>
    <row r="504" spans="1:20">
      <c r="A504">
        <v>9</v>
      </c>
      <c r="B504">
        <v>135819981</v>
      </c>
      <c r="C504" t="str">
        <f t="shared" si="21"/>
        <v>9:135819981</v>
      </c>
      <c r="D504">
        <v>2</v>
      </c>
      <c r="E504" s="1">
        <v>8.2987551899999998E-3</v>
      </c>
      <c r="F504">
        <v>4</v>
      </c>
      <c r="G504">
        <v>1</v>
      </c>
      <c r="H504" s="4">
        <v>0</v>
      </c>
      <c r="I504">
        <v>1</v>
      </c>
      <c r="J504">
        <v>0</v>
      </c>
      <c r="K504">
        <v>0</v>
      </c>
      <c r="L504">
        <v>0</v>
      </c>
      <c r="M504">
        <v>0</v>
      </c>
      <c r="N504">
        <v>0</v>
      </c>
      <c r="O504" t="str">
        <f t="shared" si="22"/>
        <v>G</v>
      </c>
      <c r="P504" t="str">
        <f t="shared" si="23"/>
        <v>T</v>
      </c>
      <c r="Q504">
        <f>IF(M504=0,0,VLOOKUP(M504,'aa codes'!$A$1:'aa codes'!$B$21,2))</f>
        <v>0</v>
      </c>
      <c r="R504">
        <f>IF(N504=0,0,VLOOKUP(N504,'aa codes'!$A$1:'aa codes'!$B$21,2))</f>
        <v>0</v>
      </c>
      <c r="S504" s="1">
        <v>1.0706638099999999E-3</v>
      </c>
      <c r="T504" s="1">
        <v>8.2987551899999998E-3</v>
      </c>
    </row>
    <row r="505" spans="1:20">
      <c r="A505">
        <v>9</v>
      </c>
      <c r="B505">
        <v>135820005</v>
      </c>
      <c r="C505" t="str">
        <f t="shared" si="21"/>
        <v>9:135820005</v>
      </c>
      <c r="D505">
        <v>2</v>
      </c>
      <c r="E505" s="1">
        <v>5.6818181800000001E-3</v>
      </c>
      <c r="F505">
        <v>14</v>
      </c>
      <c r="G505">
        <v>1</v>
      </c>
      <c r="H505" s="4">
        <v>0</v>
      </c>
      <c r="I505">
        <v>1</v>
      </c>
      <c r="J505">
        <v>0</v>
      </c>
      <c r="K505">
        <v>0</v>
      </c>
      <c r="L505">
        <v>0</v>
      </c>
      <c r="M505">
        <v>0</v>
      </c>
      <c r="N505">
        <v>0</v>
      </c>
      <c r="O505" t="str">
        <f t="shared" si="22"/>
        <v>G</v>
      </c>
      <c r="P505" t="str">
        <f t="shared" si="23"/>
        <v>2NT</v>
      </c>
      <c r="Q505">
        <f>IF(M505=0,0,VLOOKUP(M505,'aa codes'!$A$1:'aa codes'!$B$21,2))</f>
        <v>0</v>
      </c>
      <c r="R505">
        <f>IF(N505=0,0,VLOOKUP(N505,'aa codes'!$A$1:'aa codes'!$B$21,2))</f>
        <v>0</v>
      </c>
      <c r="S505" s="1">
        <v>0</v>
      </c>
      <c r="T505" s="1">
        <v>5.6818181800000001E-3</v>
      </c>
    </row>
    <row r="506" spans="1:20">
      <c r="A506">
        <v>9</v>
      </c>
      <c r="B506">
        <v>135820007</v>
      </c>
      <c r="C506" t="str">
        <f t="shared" si="21"/>
        <v>9:135820007</v>
      </c>
      <c r="D506">
        <v>1</v>
      </c>
      <c r="E506" s="1">
        <v>5.7142857100000001E-3</v>
      </c>
      <c r="F506">
        <v>34</v>
      </c>
      <c r="G506">
        <v>1</v>
      </c>
      <c r="H506" s="4">
        <v>0</v>
      </c>
      <c r="I506">
        <v>1</v>
      </c>
      <c r="J506">
        <v>0</v>
      </c>
      <c r="K506">
        <v>0</v>
      </c>
      <c r="L506">
        <v>0</v>
      </c>
      <c r="M506">
        <v>0</v>
      </c>
      <c r="N506">
        <v>0</v>
      </c>
      <c r="O506" t="str">
        <f t="shared" si="22"/>
        <v>A</v>
      </c>
      <c r="P506" t="str">
        <f t="shared" si="23"/>
        <v>2NT</v>
      </c>
      <c r="Q506">
        <f>IF(M506=0,0,VLOOKUP(M506,'aa codes'!$A$1:'aa codes'!$B$21,2))</f>
        <v>0</v>
      </c>
      <c r="R506">
        <f>IF(N506=0,0,VLOOKUP(N506,'aa codes'!$A$1:'aa codes'!$B$21,2))</f>
        <v>0</v>
      </c>
      <c r="S506" s="1">
        <v>0</v>
      </c>
      <c r="T506" s="1">
        <v>5.7142857100000001E-3</v>
      </c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FormatAA">
                <anchor moveWithCells="1" sizeWithCells="1">
                  <from>
                    <xdr:col>20</xdr:col>
                    <xdr:colOff>596900</xdr:colOff>
                    <xdr:row>7</xdr:row>
                    <xdr:rowOff>25400</xdr:rowOff>
                  </from>
                  <to>
                    <xdr:col>23</xdr:col>
                    <xdr:colOff>406400</xdr:colOff>
                    <xdr:row>19</xdr:row>
                    <xdr:rowOff>139700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B21"/>
  <sheetViews>
    <sheetView tabSelected="1" workbookViewId="0">
      <selection activeCell="B21" sqref="A1:B21"/>
    </sheetView>
  </sheetViews>
  <sheetFormatPr baseColWidth="10" defaultRowHeight="15" x14ac:dyDescent="0"/>
  <sheetData>
    <row r="1" spans="1:2">
      <c r="A1">
        <v>101</v>
      </c>
      <c r="B1" s="2" t="s">
        <v>18</v>
      </c>
    </row>
    <row r="2" spans="1:2">
      <c r="A2">
        <v>102</v>
      </c>
      <c r="B2" s="2" t="s">
        <v>19</v>
      </c>
    </row>
    <row r="3" spans="1:2">
      <c r="A3">
        <v>103</v>
      </c>
      <c r="B3" s="2" t="s">
        <v>20</v>
      </c>
    </row>
    <row r="4" spans="1:2">
      <c r="A4">
        <v>104</v>
      </c>
      <c r="B4" s="2" t="s">
        <v>21</v>
      </c>
    </row>
    <row r="5" spans="1:2">
      <c r="A5">
        <v>105</v>
      </c>
      <c r="B5" s="2" t="s">
        <v>22</v>
      </c>
    </row>
    <row r="6" spans="1:2">
      <c r="A6">
        <v>106</v>
      </c>
      <c r="B6" s="2" t="s">
        <v>23</v>
      </c>
    </row>
    <row r="7" spans="1:2">
      <c r="A7">
        <v>107</v>
      </c>
      <c r="B7" s="3" t="s">
        <v>24</v>
      </c>
    </row>
    <row r="8" spans="1:2">
      <c r="A8">
        <v>108</v>
      </c>
      <c r="B8" s="2" t="s">
        <v>25</v>
      </c>
    </row>
    <row r="9" spans="1:2">
      <c r="A9">
        <v>109</v>
      </c>
      <c r="B9" s="2" t="s">
        <v>26</v>
      </c>
    </row>
    <row r="10" spans="1:2">
      <c r="A10">
        <v>110</v>
      </c>
      <c r="B10" s="2" t="s">
        <v>27</v>
      </c>
    </row>
    <row r="11" spans="1:2">
      <c r="A11">
        <v>111</v>
      </c>
      <c r="B11" s="2" t="s">
        <v>28</v>
      </c>
    </row>
    <row r="12" spans="1:2">
      <c r="A12">
        <v>112</v>
      </c>
      <c r="B12" s="2" t="s">
        <v>29</v>
      </c>
    </row>
    <row r="13" spans="1:2">
      <c r="A13">
        <v>113</v>
      </c>
      <c r="B13" s="2" t="s">
        <v>30</v>
      </c>
    </row>
    <row r="14" spans="1:2">
      <c r="A14">
        <v>114</v>
      </c>
      <c r="B14" s="2" t="s">
        <v>31</v>
      </c>
    </row>
    <row r="15" spans="1:2">
      <c r="A15">
        <v>115</v>
      </c>
      <c r="B15" s="2" t="s">
        <v>32</v>
      </c>
    </row>
    <row r="16" spans="1:2">
      <c r="A16">
        <v>116</v>
      </c>
      <c r="B16" s="2" t="s">
        <v>33</v>
      </c>
    </row>
    <row r="17" spans="1:2">
      <c r="A17">
        <v>117</v>
      </c>
      <c r="B17" s="2" t="s">
        <v>34</v>
      </c>
    </row>
    <row r="18" spans="1:2">
      <c r="A18">
        <v>118</v>
      </c>
      <c r="B18" s="2" t="s">
        <v>35</v>
      </c>
    </row>
    <row r="19" spans="1:2">
      <c r="A19">
        <v>119</v>
      </c>
      <c r="B19" s="2" t="s">
        <v>36</v>
      </c>
    </row>
    <row r="20" spans="1:2">
      <c r="A20">
        <v>120</v>
      </c>
      <c r="B20" s="2" t="s">
        <v>37</v>
      </c>
    </row>
    <row r="21" spans="1:2">
      <c r="A21">
        <v>121</v>
      </c>
      <c r="B21" s="3" t="s">
        <v>38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J1"/>
  <sheetViews>
    <sheetView workbookViewId="0">
      <selection activeCell="E12" sqref="E12"/>
    </sheetView>
  </sheetViews>
  <sheetFormatPr baseColWidth="10" defaultRowHeight="15" x14ac:dyDescent="0"/>
  <sheetData>
    <row r="1" spans="1:10">
      <c r="A1" t="s">
        <v>41</v>
      </c>
      <c r="B1" t="s">
        <v>42</v>
      </c>
      <c r="C1" t="s">
        <v>43</v>
      </c>
      <c r="D1" t="s">
        <v>44</v>
      </c>
      <c r="E1" t="s">
        <v>45</v>
      </c>
      <c r="F1" t="s">
        <v>46</v>
      </c>
      <c r="G1" t="s">
        <v>47</v>
      </c>
      <c r="H1" t="s">
        <v>48</v>
      </c>
      <c r="I1" t="s">
        <v>49</v>
      </c>
      <c r="J1" t="s">
        <v>50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V506"/>
  <sheetViews>
    <sheetView topLeftCell="H1" workbookViewId="0">
      <selection activeCell="V2" sqref="V2"/>
    </sheetView>
  </sheetViews>
  <sheetFormatPr baseColWidth="10" defaultRowHeight="15" x14ac:dyDescent="0"/>
  <cols>
    <col min="3" max="3" width="12.33203125" customWidth="1"/>
    <col min="5" max="5" width="16.1640625" style="1" customWidth="1"/>
    <col min="8" max="8" width="10.83203125" style="4"/>
    <col min="18" max="18" width="12.6640625" customWidth="1"/>
    <col min="19" max="20" width="17.33203125" style="1" customWidth="1"/>
    <col min="21" max="21" width="18.5" customWidth="1"/>
    <col min="22" max="22" width="19.5" customWidth="1"/>
  </cols>
  <sheetData>
    <row r="1" spans="1:22">
      <c r="A1" t="s">
        <v>0</v>
      </c>
      <c r="B1" t="s">
        <v>1</v>
      </c>
      <c r="C1" t="s">
        <v>2</v>
      </c>
      <c r="D1" t="s">
        <v>3</v>
      </c>
      <c r="E1" s="1" t="s">
        <v>4</v>
      </c>
      <c r="F1" t="s">
        <v>5</v>
      </c>
      <c r="G1" t="s">
        <v>15</v>
      </c>
      <c r="H1" s="4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16</v>
      </c>
      <c r="P1" t="s">
        <v>17</v>
      </c>
      <c r="Q1" t="s">
        <v>39</v>
      </c>
      <c r="R1" t="s">
        <v>40</v>
      </c>
      <c r="S1" s="1" t="s">
        <v>13</v>
      </c>
      <c r="T1" s="1" t="s">
        <v>14</v>
      </c>
    </row>
    <row r="2" spans="1:22">
      <c r="A2">
        <v>9</v>
      </c>
      <c r="B2">
        <v>135767943</v>
      </c>
      <c r="C2" t="str">
        <f>A2&amp;":"&amp;B2</f>
        <v>9:135767943</v>
      </c>
      <c r="D2">
        <v>3</v>
      </c>
      <c r="E2" s="1">
        <v>0.51210067800000003</v>
      </c>
      <c r="F2">
        <v>4</v>
      </c>
      <c r="G2">
        <v>2</v>
      </c>
      <c r="H2" s="4">
        <v>0.70420000000000005</v>
      </c>
      <c r="I2">
        <v>24</v>
      </c>
      <c r="J2">
        <v>0</v>
      </c>
      <c r="K2">
        <v>0</v>
      </c>
      <c r="L2">
        <v>0</v>
      </c>
      <c r="M2">
        <v>0</v>
      </c>
      <c r="N2">
        <v>0</v>
      </c>
      <c r="O2" t="str">
        <f>IF(D2=1,"A",IF(D2=2,"G",IF(D2=3,"C",IF(D2=4,"T","2NT"))))</f>
        <v>C</v>
      </c>
      <c r="P2" t="str">
        <f>IF(F2=1,"A",IF(F2=2,"G",IF(F2=3,"C",IF(F2=4,"T","2NT"))))</f>
        <v>T</v>
      </c>
      <c r="Q2">
        <f>IF(M2=0,0,VLOOKUP(M2,'aa codes'!$A$1:'aa codes'!$B$21,2))</f>
        <v>0</v>
      </c>
      <c r="R2">
        <f>IF(N2=0,0,VLOOKUP(N2,'aa codes'!$A$1:'aa codes'!$B$21,2))</f>
        <v>0</v>
      </c>
      <c r="S2" s="1">
        <v>0.51210067800000003</v>
      </c>
      <c r="T2" s="1">
        <v>0.49772382399999998</v>
      </c>
      <c r="U2" t="str">
        <f>O2 &amp;" &gt; " &amp;P2</f>
        <v>C &gt; T</v>
      </c>
      <c r="V2" t="str">
        <f>IF(D2=1,"A",IF(D2=2,"G",IF(D2=3,"C",IF(D2=4,"T","2NT"))))&amp;" &lt; "&amp;IF(F2=1,"A",IF(F2=2,"G",IF(F2=3,"C",IF(F2=4,"T","2NT"))))</f>
        <v>C &lt; T</v>
      </c>
    </row>
    <row r="3" spans="1:22">
      <c r="A3">
        <v>9</v>
      </c>
      <c r="B3">
        <v>135769688</v>
      </c>
      <c r="C3" t="str">
        <f t="shared" ref="C3:C66" si="0">A3&amp;":"&amp;B3</f>
        <v>9:135769688</v>
      </c>
      <c r="D3">
        <v>4</v>
      </c>
      <c r="E3" s="1">
        <v>0.51222826099999996</v>
      </c>
      <c r="F3">
        <v>3</v>
      </c>
      <c r="G3">
        <v>1</v>
      </c>
      <c r="H3" s="4">
        <v>0.1404</v>
      </c>
      <c r="I3">
        <v>24</v>
      </c>
      <c r="J3">
        <v>0</v>
      </c>
      <c r="K3">
        <v>0</v>
      </c>
      <c r="L3">
        <v>0</v>
      </c>
      <c r="M3">
        <v>0</v>
      </c>
      <c r="N3">
        <v>0</v>
      </c>
      <c r="O3" t="str">
        <f t="shared" ref="O3:O66" si="1">IF(D3=1,"A",IF(D3=2,"G",IF(D3=3,"C",IF(D3=4,"T","2NT"))))</f>
        <v>T</v>
      </c>
      <c r="P3" t="str">
        <f t="shared" ref="P3:P66" si="2">IF(F3=1,"A",IF(F3=2,"G",IF(F3=3,"C",IF(F3=4,"T","2NT"))))</f>
        <v>C</v>
      </c>
      <c r="Q3">
        <f>IF(M3=0,0,VLOOKUP(M3,'aa codes'!$A$1:'aa codes'!$B$21,2))</f>
        <v>0</v>
      </c>
      <c r="R3">
        <f>IF(N3=0,0,VLOOKUP(N3,'aa codes'!$A$1:'aa codes'!$B$21,2))</f>
        <v>0</v>
      </c>
      <c r="S3" s="1">
        <v>0</v>
      </c>
      <c r="T3" s="1">
        <v>0.51222826099999996</v>
      </c>
    </row>
    <row r="4" spans="1:22">
      <c r="A4">
        <v>9</v>
      </c>
      <c r="B4">
        <v>135770057</v>
      </c>
      <c r="C4" t="str">
        <f t="shared" si="0"/>
        <v>9:135770057</v>
      </c>
      <c r="D4">
        <v>4</v>
      </c>
      <c r="E4" s="1">
        <v>8.0000000000000002E-3</v>
      </c>
      <c r="F4">
        <v>1</v>
      </c>
      <c r="G4">
        <v>1</v>
      </c>
      <c r="H4" s="4">
        <v>0</v>
      </c>
      <c r="I4">
        <v>24</v>
      </c>
      <c r="J4">
        <v>0</v>
      </c>
      <c r="K4">
        <v>0</v>
      </c>
      <c r="L4">
        <v>0</v>
      </c>
      <c r="M4">
        <v>0</v>
      </c>
      <c r="N4">
        <v>0</v>
      </c>
      <c r="O4" t="str">
        <f t="shared" si="1"/>
        <v>T</v>
      </c>
      <c r="P4" t="str">
        <f t="shared" si="2"/>
        <v>A</v>
      </c>
      <c r="Q4">
        <f>IF(M4=0,0,VLOOKUP(M4,'aa codes'!$A$1:'aa codes'!$B$21,2))</f>
        <v>0</v>
      </c>
      <c r="R4">
        <f>IF(N4=0,0,VLOOKUP(N4,'aa codes'!$A$1:'aa codes'!$B$21,2))</f>
        <v>0</v>
      </c>
      <c r="S4" s="1">
        <v>4.6367851600000003E-3</v>
      </c>
      <c r="T4" s="1">
        <v>8.0000000000000002E-3</v>
      </c>
    </row>
    <row r="5" spans="1:22">
      <c r="A5">
        <v>9</v>
      </c>
      <c r="B5">
        <v>135770062</v>
      </c>
      <c r="C5" t="str">
        <f t="shared" si="0"/>
        <v>9:135770062</v>
      </c>
      <c r="D5">
        <v>2</v>
      </c>
      <c r="E5" s="1">
        <v>1.20274914E-2</v>
      </c>
      <c r="F5">
        <v>1</v>
      </c>
      <c r="G5">
        <v>2</v>
      </c>
      <c r="H5" s="4">
        <v>0</v>
      </c>
      <c r="I5">
        <v>24</v>
      </c>
      <c r="J5">
        <v>0</v>
      </c>
      <c r="K5">
        <v>0</v>
      </c>
      <c r="L5">
        <v>0</v>
      </c>
      <c r="M5">
        <v>0</v>
      </c>
      <c r="N5">
        <v>0</v>
      </c>
      <c r="O5" t="str">
        <f t="shared" si="1"/>
        <v>G</v>
      </c>
      <c r="P5" t="str">
        <f t="shared" si="2"/>
        <v>A</v>
      </c>
      <c r="Q5">
        <f>IF(M5=0,0,VLOOKUP(M5,'aa codes'!$A$1:'aa codes'!$B$21,2))</f>
        <v>0</v>
      </c>
      <c r="R5">
        <f>IF(N5=0,0,VLOOKUP(N5,'aa codes'!$A$1:'aa codes'!$B$21,2))</f>
        <v>0</v>
      </c>
      <c r="S5" s="1">
        <v>1.20274914E-2</v>
      </c>
      <c r="T5" s="1">
        <v>5.5865921799999997E-3</v>
      </c>
    </row>
    <row r="6" spans="1:22">
      <c r="A6">
        <v>9</v>
      </c>
      <c r="B6">
        <v>135770065</v>
      </c>
      <c r="C6" t="str">
        <f t="shared" si="0"/>
        <v>9:135770065</v>
      </c>
      <c r="D6">
        <v>4</v>
      </c>
      <c r="E6" s="1">
        <v>5.66572238E-3</v>
      </c>
      <c r="F6">
        <v>1</v>
      </c>
      <c r="G6">
        <v>1</v>
      </c>
      <c r="H6" s="4">
        <v>0</v>
      </c>
      <c r="I6">
        <v>24</v>
      </c>
      <c r="J6">
        <v>0</v>
      </c>
      <c r="K6">
        <v>0</v>
      </c>
      <c r="L6">
        <v>0</v>
      </c>
      <c r="M6">
        <v>0</v>
      </c>
      <c r="N6">
        <v>0</v>
      </c>
      <c r="O6" t="str">
        <f t="shared" si="1"/>
        <v>T</v>
      </c>
      <c r="P6" t="str">
        <f t="shared" si="2"/>
        <v>A</v>
      </c>
      <c r="Q6">
        <f>IF(M6=0,0,VLOOKUP(M6,'aa codes'!$A$1:'aa codes'!$B$21,2))</f>
        <v>0</v>
      </c>
      <c r="R6">
        <f>IF(N6=0,0,VLOOKUP(N6,'aa codes'!$A$1:'aa codes'!$B$21,2))</f>
        <v>0</v>
      </c>
      <c r="S6" s="1">
        <v>3.4722222200000001E-3</v>
      </c>
      <c r="T6" s="1">
        <v>5.66572238E-3</v>
      </c>
    </row>
    <row r="7" spans="1:22">
      <c r="A7">
        <v>9</v>
      </c>
      <c r="B7">
        <v>135770070</v>
      </c>
      <c r="C7" t="str">
        <f t="shared" si="0"/>
        <v>9:135770070</v>
      </c>
      <c r="D7">
        <v>1</v>
      </c>
      <c r="E7" s="1">
        <v>3.3333333299999997E-2</v>
      </c>
      <c r="F7">
        <v>4</v>
      </c>
      <c r="G7">
        <v>2</v>
      </c>
      <c r="H7" s="4">
        <v>0</v>
      </c>
      <c r="I7">
        <v>24</v>
      </c>
      <c r="J7">
        <v>0</v>
      </c>
      <c r="K7">
        <v>0</v>
      </c>
      <c r="L7">
        <v>0</v>
      </c>
      <c r="M7">
        <v>0</v>
      </c>
      <c r="N7">
        <v>0</v>
      </c>
      <c r="O7" t="str">
        <f t="shared" si="1"/>
        <v>A</v>
      </c>
      <c r="P7" t="str">
        <f t="shared" si="2"/>
        <v>T</v>
      </c>
      <c r="Q7">
        <f>IF(M7=0,0,VLOOKUP(M7,'aa codes'!$A$1:'aa codes'!$B$21,2))</f>
        <v>0</v>
      </c>
      <c r="R7">
        <f>IF(N7=0,0,VLOOKUP(N7,'aa codes'!$A$1:'aa codes'!$B$21,2))</f>
        <v>0</v>
      </c>
      <c r="S7" s="1">
        <v>2.93577982E-2</v>
      </c>
      <c r="T7" s="1">
        <v>3.3333333299999997E-2</v>
      </c>
    </row>
    <row r="8" spans="1:22">
      <c r="A8">
        <v>9</v>
      </c>
      <c r="B8">
        <v>135770073</v>
      </c>
      <c r="C8" t="str">
        <f t="shared" si="0"/>
        <v>9:135770073</v>
      </c>
      <c r="D8">
        <v>2</v>
      </c>
      <c r="E8" s="1">
        <v>1.12903226E-2</v>
      </c>
      <c r="F8">
        <v>4</v>
      </c>
      <c r="G8">
        <v>2</v>
      </c>
      <c r="H8" s="4">
        <v>0</v>
      </c>
      <c r="I8">
        <v>24</v>
      </c>
      <c r="J8">
        <v>0</v>
      </c>
      <c r="K8">
        <v>0</v>
      </c>
      <c r="L8">
        <v>0</v>
      </c>
      <c r="M8">
        <v>0</v>
      </c>
      <c r="N8">
        <v>0</v>
      </c>
      <c r="O8" t="str">
        <f t="shared" si="1"/>
        <v>G</v>
      </c>
      <c r="P8" t="str">
        <f t="shared" si="2"/>
        <v>T</v>
      </c>
      <c r="Q8">
        <f>IF(M8=0,0,VLOOKUP(M8,'aa codes'!$A$1:'aa codes'!$B$21,2))</f>
        <v>0</v>
      </c>
      <c r="R8">
        <f>IF(N8=0,0,VLOOKUP(N8,'aa codes'!$A$1:'aa codes'!$B$21,2))</f>
        <v>0</v>
      </c>
      <c r="S8" s="1">
        <v>1.12903226E-2</v>
      </c>
      <c r="T8" s="1">
        <v>1.0471204200000001E-2</v>
      </c>
    </row>
    <row r="9" spans="1:22">
      <c r="A9">
        <v>9</v>
      </c>
      <c r="B9">
        <v>135770077</v>
      </c>
      <c r="C9" t="str">
        <f t="shared" si="0"/>
        <v>9:135770077</v>
      </c>
      <c r="D9">
        <v>4</v>
      </c>
      <c r="E9" s="1">
        <v>1.6587677700000001E-2</v>
      </c>
      <c r="F9">
        <v>1</v>
      </c>
      <c r="G9">
        <v>2</v>
      </c>
      <c r="H9" s="4">
        <v>0</v>
      </c>
      <c r="I9">
        <v>24</v>
      </c>
      <c r="J9">
        <v>0</v>
      </c>
      <c r="K9">
        <v>0</v>
      </c>
      <c r="L9">
        <v>0</v>
      </c>
      <c r="M9">
        <v>0</v>
      </c>
      <c r="N9">
        <v>0</v>
      </c>
      <c r="O9" t="str">
        <f t="shared" si="1"/>
        <v>T</v>
      </c>
      <c r="P9" t="str">
        <f t="shared" si="2"/>
        <v>A</v>
      </c>
      <c r="Q9">
        <f>IF(M9=0,0,VLOOKUP(M9,'aa codes'!$A$1:'aa codes'!$B$21,2))</f>
        <v>0</v>
      </c>
      <c r="R9">
        <f>IF(N9=0,0,VLOOKUP(N9,'aa codes'!$A$1:'aa codes'!$B$21,2))</f>
        <v>0</v>
      </c>
      <c r="S9" s="1">
        <v>9.0771558200000001E-3</v>
      </c>
      <c r="T9" s="1">
        <v>1.6587677700000001E-2</v>
      </c>
    </row>
    <row r="10" spans="1:22">
      <c r="A10">
        <v>9</v>
      </c>
      <c r="B10">
        <v>135770079</v>
      </c>
      <c r="C10" t="str">
        <f t="shared" si="0"/>
        <v>9:135770079</v>
      </c>
      <c r="D10">
        <v>3</v>
      </c>
      <c r="E10" s="1">
        <v>8.8888888900000001E-3</v>
      </c>
      <c r="F10">
        <v>4</v>
      </c>
      <c r="G10">
        <v>1</v>
      </c>
      <c r="H10" s="4">
        <v>0</v>
      </c>
      <c r="I10">
        <v>24</v>
      </c>
      <c r="J10">
        <v>0</v>
      </c>
      <c r="K10">
        <v>0</v>
      </c>
      <c r="L10">
        <v>0</v>
      </c>
      <c r="M10">
        <v>0</v>
      </c>
      <c r="N10">
        <v>0</v>
      </c>
      <c r="O10" t="str">
        <f t="shared" si="1"/>
        <v>C</v>
      </c>
      <c r="P10" t="str">
        <f t="shared" si="2"/>
        <v>T</v>
      </c>
      <c r="Q10">
        <f>IF(M10=0,0,VLOOKUP(M10,'aa codes'!$A$1:'aa codes'!$B$21,2))</f>
        <v>0</v>
      </c>
      <c r="R10">
        <f>IF(N10=0,0,VLOOKUP(N10,'aa codes'!$A$1:'aa codes'!$B$21,2))</f>
        <v>0</v>
      </c>
      <c r="S10" s="1">
        <v>2.7397260299999999E-3</v>
      </c>
      <c r="T10" s="1">
        <v>8.8888888900000001E-3</v>
      </c>
    </row>
    <row r="11" spans="1:22">
      <c r="A11">
        <v>9</v>
      </c>
      <c r="B11">
        <v>135770080</v>
      </c>
      <c r="C11" t="str">
        <f t="shared" si="0"/>
        <v>9:135770080</v>
      </c>
      <c r="D11">
        <v>4</v>
      </c>
      <c r="E11" s="1">
        <v>1.8105849600000001E-2</v>
      </c>
      <c r="F11">
        <v>1</v>
      </c>
      <c r="G11">
        <v>2</v>
      </c>
      <c r="H11" s="4">
        <v>0</v>
      </c>
      <c r="I11">
        <v>24</v>
      </c>
      <c r="J11">
        <v>0</v>
      </c>
      <c r="K11">
        <v>0</v>
      </c>
      <c r="L11">
        <v>0</v>
      </c>
      <c r="M11">
        <v>0</v>
      </c>
      <c r="N11">
        <v>0</v>
      </c>
      <c r="O11" t="str">
        <f t="shared" si="1"/>
        <v>T</v>
      </c>
      <c r="P11" t="str">
        <f t="shared" si="2"/>
        <v>A</v>
      </c>
      <c r="Q11">
        <f>IF(M11=0,0,VLOOKUP(M11,'aa codes'!$A$1:'aa codes'!$B$21,2))</f>
        <v>0</v>
      </c>
      <c r="R11">
        <f>IF(N11=0,0,VLOOKUP(N11,'aa codes'!$A$1:'aa codes'!$B$21,2))</f>
        <v>0</v>
      </c>
      <c r="S11" s="1">
        <v>7.3732718899999997E-3</v>
      </c>
      <c r="T11" s="1">
        <v>1.8105849600000001E-2</v>
      </c>
    </row>
    <row r="12" spans="1:22">
      <c r="A12">
        <v>9</v>
      </c>
      <c r="B12">
        <v>135770081</v>
      </c>
      <c r="C12" t="str">
        <f t="shared" si="0"/>
        <v>9:135770081</v>
      </c>
      <c r="D12">
        <v>1</v>
      </c>
      <c r="E12" s="1">
        <v>2.5691699599999999E-2</v>
      </c>
      <c r="F12">
        <v>4</v>
      </c>
      <c r="G12">
        <v>1</v>
      </c>
      <c r="H12" s="4">
        <v>0</v>
      </c>
      <c r="I12">
        <v>24</v>
      </c>
      <c r="J12">
        <v>0</v>
      </c>
      <c r="K12">
        <v>0</v>
      </c>
      <c r="L12">
        <v>0</v>
      </c>
      <c r="M12">
        <v>0</v>
      </c>
      <c r="N12">
        <v>0</v>
      </c>
      <c r="O12" t="str">
        <f t="shared" si="1"/>
        <v>A</v>
      </c>
      <c r="P12" t="str">
        <f t="shared" si="2"/>
        <v>T</v>
      </c>
      <c r="Q12">
        <f>IF(M12=0,0,VLOOKUP(M12,'aa codes'!$A$1:'aa codes'!$B$21,2))</f>
        <v>0</v>
      </c>
      <c r="R12">
        <f>IF(N12=0,0,VLOOKUP(N12,'aa codes'!$A$1:'aa codes'!$B$21,2))</f>
        <v>0</v>
      </c>
      <c r="S12" s="1">
        <v>2.5691699599999999E-2</v>
      </c>
      <c r="T12" s="1">
        <v>2.6595744699999999E-3</v>
      </c>
    </row>
    <row r="13" spans="1:22">
      <c r="A13">
        <v>9</v>
      </c>
      <c r="B13">
        <v>135770082</v>
      </c>
      <c r="C13" t="str">
        <f t="shared" si="0"/>
        <v>9:135770082</v>
      </c>
      <c r="D13">
        <v>1</v>
      </c>
      <c r="E13" s="1">
        <v>7.3964497000000001E-3</v>
      </c>
      <c r="F13">
        <v>4</v>
      </c>
      <c r="G13">
        <v>1</v>
      </c>
      <c r="H13" s="4">
        <v>0</v>
      </c>
      <c r="I13">
        <v>24</v>
      </c>
      <c r="J13">
        <v>0</v>
      </c>
      <c r="K13">
        <v>0</v>
      </c>
      <c r="L13">
        <v>0</v>
      </c>
      <c r="M13">
        <v>0</v>
      </c>
      <c r="N13">
        <v>0</v>
      </c>
      <c r="O13" t="str">
        <f t="shared" si="1"/>
        <v>A</v>
      </c>
      <c r="P13" t="str">
        <f t="shared" si="2"/>
        <v>T</v>
      </c>
      <c r="Q13">
        <f>IF(M13=0,0,VLOOKUP(M13,'aa codes'!$A$1:'aa codes'!$B$21,2))</f>
        <v>0</v>
      </c>
      <c r="R13">
        <f>IF(N13=0,0,VLOOKUP(N13,'aa codes'!$A$1:'aa codes'!$B$21,2))</f>
        <v>0</v>
      </c>
      <c r="S13" s="1">
        <v>7.3964497000000001E-3</v>
      </c>
      <c r="T13" s="1">
        <v>4.2194092800000001E-3</v>
      </c>
    </row>
    <row r="14" spans="1:22">
      <c r="A14">
        <v>9</v>
      </c>
      <c r="B14">
        <v>135770101</v>
      </c>
      <c r="C14" t="str">
        <f t="shared" si="0"/>
        <v>9:135770101</v>
      </c>
      <c r="D14">
        <v>1</v>
      </c>
      <c r="E14" s="1">
        <v>6.6225165599999997E-3</v>
      </c>
      <c r="F14">
        <v>2</v>
      </c>
      <c r="G14">
        <v>2</v>
      </c>
      <c r="H14" s="4">
        <v>0</v>
      </c>
      <c r="I14">
        <v>24</v>
      </c>
      <c r="J14">
        <v>0</v>
      </c>
      <c r="K14">
        <v>0</v>
      </c>
      <c r="L14">
        <v>0</v>
      </c>
      <c r="M14">
        <v>0</v>
      </c>
      <c r="N14">
        <v>0</v>
      </c>
      <c r="O14" t="str">
        <f t="shared" si="1"/>
        <v>A</v>
      </c>
      <c r="P14" t="str">
        <f t="shared" si="2"/>
        <v>G</v>
      </c>
      <c r="Q14">
        <f>IF(M14=0,0,VLOOKUP(M14,'aa codes'!$A$1:'aa codes'!$B$21,2))</f>
        <v>0</v>
      </c>
      <c r="R14">
        <f>IF(N14=0,0,VLOOKUP(N14,'aa codes'!$A$1:'aa codes'!$B$21,2))</f>
        <v>0</v>
      </c>
      <c r="S14" s="1">
        <v>6.6225165599999997E-3</v>
      </c>
      <c r="T14" s="1">
        <v>5.5045871600000002E-3</v>
      </c>
    </row>
    <row r="15" spans="1:22">
      <c r="A15">
        <v>9</v>
      </c>
      <c r="B15">
        <v>135770102</v>
      </c>
      <c r="C15" t="str">
        <f t="shared" si="0"/>
        <v>9:135770102</v>
      </c>
      <c r="D15">
        <v>1</v>
      </c>
      <c r="E15" s="1">
        <v>8.0645161299999994E-3</v>
      </c>
      <c r="F15">
        <v>2</v>
      </c>
      <c r="G15">
        <v>2</v>
      </c>
      <c r="H15" s="4">
        <v>0</v>
      </c>
      <c r="I15">
        <v>24</v>
      </c>
      <c r="J15">
        <v>0</v>
      </c>
      <c r="K15">
        <v>0</v>
      </c>
      <c r="L15">
        <v>0</v>
      </c>
      <c r="M15">
        <v>0</v>
      </c>
      <c r="N15">
        <v>0</v>
      </c>
      <c r="O15" t="str">
        <f t="shared" si="1"/>
        <v>A</v>
      </c>
      <c r="P15" t="str">
        <f t="shared" si="2"/>
        <v>G</v>
      </c>
      <c r="Q15">
        <f>IF(M15=0,0,VLOOKUP(M15,'aa codes'!$A$1:'aa codes'!$B$21,2))</f>
        <v>0</v>
      </c>
      <c r="R15">
        <f>IF(N15=0,0,VLOOKUP(N15,'aa codes'!$A$1:'aa codes'!$B$21,2))</f>
        <v>0</v>
      </c>
      <c r="S15" s="1">
        <v>5.8479532200000003E-3</v>
      </c>
      <c r="T15" s="1">
        <v>8.0645161299999994E-3</v>
      </c>
    </row>
    <row r="16" spans="1:22">
      <c r="A16">
        <v>9</v>
      </c>
      <c r="B16">
        <v>135770103</v>
      </c>
      <c r="C16" t="str">
        <f t="shared" si="0"/>
        <v>9:135770103</v>
      </c>
      <c r="D16">
        <v>2</v>
      </c>
      <c r="E16" s="1">
        <v>3.1578947400000001E-2</v>
      </c>
      <c r="F16">
        <v>1</v>
      </c>
      <c r="G16">
        <v>2</v>
      </c>
      <c r="H16" s="4">
        <v>0</v>
      </c>
      <c r="I16">
        <v>24</v>
      </c>
      <c r="J16">
        <v>0</v>
      </c>
      <c r="K16">
        <v>0</v>
      </c>
      <c r="L16">
        <v>0</v>
      </c>
      <c r="M16">
        <v>0</v>
      </c>
      <c r="N16">
        <v>0</v>
      </c>
      <c r="O16" t="str">
        <f t="shared" si="1"/>
        <v>G</v>
      </c>
      <c r="P16" t="str">
        <f t="shared" si="2"/>
        <v>A</v>
      </c>
      <c r="Q16">
        <f>IF(M16=0,0,VLOOKUP(M16,'aa codes'!$A$1:'aa codes'!$B$21,2))</f>
        <v>0</v>
      </c>
      <c r="R16">
        <f>IF(N16=0,0,VLOOKUP(N16,'aa codes'!$A$1:'aa codes'!$B$21,2))</f>
        <v>0</v>
      </c>
      <c r="S16" s="1">
        <v>9.6952908600000005E-3</v>
      </c>
      <c r="T16" s="1">
        <v>3.1578947400000001E-2</v>
      </c>
    </row>
    <row r="17" spans="1:20">
      <c r="A17">
        <v>9</v>
      </c>
      <c r="B17">
        <v>135770104</v>
      </c>
      <c r="C17" t="str">
        <f t="shared" si="0"/>
        <v>9:135770104</v>
      </c>
      <c r="D17">
        <v>1</v>
      </c>
      <c r="E17" s="1">
        <v>1.26582278E-2</v>
      </c>
      <c r="F17">
        <v>3</v>
      </c>
      <c r="G17">
        <v>2</v>
      </c>
      <c r="H17" s="4">
        <v>0</v>
      </c>
      <c r="I17">
        <v>24</v>
      </c>
      <c r="J17">
        <v>0</v>
      </c>
      <c r="K17">
        <v>0</v>
      </c>
      <c r="L17">
        <v>0</v>
      </c>
      <c r="M17">
        <v>0</v>
      </c>
      <c r="N17">
        <v>0</v>
      </c>
      <c r="O17" t="str">
        <f t="shared" si="1"/>
        <v>A</v>
      </c>
      <c r="P17" t="str">
        <f t="shared" si="2"/>
        <v>C</v>
      </c>
      <c r="Q17">
        <f>IF(M17=0,0,VLOOKUP(M17,'aa codes'!$A$1:'aa codes'!$B$21,2))</f>
        <v>0</v>
      </c>
      <c r="R17">
        <f>IF(N17=0,0,VLOOKUP(N17,'aa codes'!$A$1:'aa codes'!$B$21,2))</f>
        <v>0</v>
      </c>
      <c r="S17" s="1">
        <v>5.2980132499999997E-3</v>
      </c>
      <c r="T17" s="1">
        <v>1.26582278E-2</v>
      </c>
    </row>
    <row r="18" spans="1:20">
      <c r="A18">
        <v>9</v>
      </c>
      <c r="B18">
        <v>135770105</v>
      </c>
      <c r="C18" t="str">
        <f t="shared" si="0"/>
        <v>9:135770105</v>
      </c>
      <c r="D18">
        <v>3</v>
      </c>
      <c r="E18" s="1">
        <v>6.4432989699999997E-3</v>
      </c>
      <c r="F18">
        <v>4</v>
      </c>
      <c r="G18">
        <v>1</v>
      </c>
      <c r="H18" s="4">
        <v>0</v>
      </c>
      <c r="I18">
        <v>24</v>
      </c>
      <c r="J18">
        <v>0</v>
      </c>
      <c r="K18">
        <v>0</v>
      </c>
      <c r="L18">
        <v>0</v>
      </c>
      <c r="M18">
        <v>0</v>
      </c>
      <c r="N18">
        <v>0</v>
      </c>
      <c r="O18" t="str">
        <f t="shared" si="1"/>
        <v>C</v>
      </c>
      <c r="P18" t="str">
        <f t="shared" si="2"/>
        <v>T</v>
      </c>
      <c r="Q18">
        <f>IF(M18=0,0,VLOOKUP(M18,'aa codes'!$A$1:'aa codes'!$B$21,2))</f>
        <v>0</v>
      </c>
      <c r="R18">
        <f>IF(N18=0,0,VLOOKUP(N18,'aa codes'!$A$1:'aa codes'!$B$21,2))</f>
        <v>0</v>
      </c>
      <c r="S18" s="1">
        <v>6.4432989699999997E-3</v>
      </c>
      <c r="T18" s="1">
        <v>4.8780487799999998E-3</v>
      </c>
    </row>
    <row r="19" spans="1:20">
      <c r="A19">
        <v>9</v>
      </c>
      <c r="B19">
        <v>135770110</v>
      </c>
      <c r="C19" t="str">
        <f t="shared" si="0"/>
        <v>9:135770110</v>
      </c>
      <c r="D19">
        <v>1</v>
      </c>
      <c r="E19" s="1">
        <v>4.6511627899999998E-2</v>
      </c>
      <c r="F19">
        <v>4</v>
      </c>
      <c r="G19">
        <v>2</v>
      </c>
      <c r="H19" s="4">
        <v>0</v>
      </c>
      <c r="I19">
        <v>24</v>
      </c>
      <c r="J19">
        <v>0</v>
      </c>
      <c r="K19">
        <v>0</v>
      </c>
      <c r="L19">
        <v>0</v>
      </c>
      <c r="M19">
        <v>0</v>
      </c>
      <c r="N19">
        <v>0</v>
      </c>
      <c r="O19" t="str">
        <f t="shared" si="1"/>
        <v>A</v>
      </c>
      <c r="P19" t="str">
        <f t="shared" si="2"/>
        <v>T</v>
      </c>
      <c r="Q19">
        <f>IF(M19=0,0,VLOOKUP(M19,'aa codes'!$A$1:'aa codes'!$B$21,2))</f>
        <v>0</v>
      </c>
      <c r="R19">
        <f>IF(N19=0,0,VLOOKUP(N19,'aa codes'!$A$1:'aa codes'!$B$21,2))</f>
        <v>0</v>
      </c>
      <c r="S19" s="1">
        <v>2.48041775E-2</v>
      </c>
      <c r="T19" s="1">
        <v>4.6511627899999998E-2</v>
      </c>
    </row>
    <row r="20" spans="1:20">
      <c r="A20">
        <v>9</v>
      </c>
      <c r="B20">
        <v>135770113</v>
      </c>
      <c r="C20" t="str">
        <f t="shared" si="0"/>
        <v>9:135770113</v>
      </c>
      <c r="D20">
        <v>3</v>
      </c>
      <c r="E20" s="1">
        <v>3.0726257E-2</v>
      </c>
      <c r="F20">
        <v>4</v>
      </c>
      <c r="G20">
        <v>2</v>
      </c>
      <c r="H20" s="4">
        <v>0</v>
      </c>
      <c r="I20">
        <v>24</v>
      </c>
      <c r="J20">
        <v>0</v>
      </c>
      <c r="K20">
        <v>0</v>
      </c>
      <c r="L20">
        <v>0</v>
      </c>
      <c r="M20">
        <v>0</v>
      </c>
      <c r="N20">
        <v>0</v>
      </c>
      <c r="O20" t="str">
        <f t="shared" si="1"/>
        <v>C</v>
      </c>
      <c r="P20" t="str">
        <f t="shared" si="2"/>
        <v>T</v>
      </c>
      <c r="Q20">
        <f>IF(M20=0,0,VLOOKUP(M20,'aa codes'!$A$1:'aa codes'!$B$21,2))</f>
        <v>0</v>
      </c>
      <c r="R20">
        <f>IF(N20=0,0,VLOOKUP(N20,'aa codes'!$A$1:'aa codes'!$B$21,2))</f>
        <v>0</v>
      </c>
      <c r="S20" s="1">
        <v>6.3613231599999997E-3</v>
      </c>
      <c r="T20" s="1">
        <v>3.0726257E-2</v>
      </c>
    </row>
    <row r="21" spans="1:20">
      <c r="A21">
        <v>9</v>
      </c>
      <c r="B21">
        <v>135770115</v>
      </c>
      <c r="C21" t="str">
        <f t="shared" si="0"/>
        <v>9:135770115</v>
      </c>
      <c r="D21">
        <v>3</v>
      </c>
      <c r="E21" s="1">
        <v>1</v>
      </c>
      <c r="F21">
        <v>4</v>
      </c>
      <c r="G21">
        <v>2</v>
      </c>
      <c r="H21" s="4">
        <v>0.78569999999999995</v>
      </c>
      <c r="I21">
        <v>24</v>
      </c>
      <c r="J21">
        <v>0</v>
      </c>
      <c r="K21">
        <v>0</v>
      </c>
      <c r="L21">
        <v>0</v>
      </c>
      <c r="M21">
        <v>0</v>
      </c>
      <c r="N21">
        <v>0</v>
      </c>
      <c r="O21" t="str">
        <f t="shared" si="1"/>
        <v>C</v>
      </c>
      <c r="P21" t="str">
        <f t="shared" si="2"/>
        <v>T</v>
      </c>
      <c r="Q21">
        <f>IF(M21=0,0,VLOOKUP(M21,'aa codes'!$A$1:'aa codes'!$B$21,2))</f>
        <v>0</v>
      </c>
      <c r="R21">
        <f>IF(N21=0,0,VLOOKUP(N21,'aa codes'!$A$1:'aa codes'!$B$21,2))</f>
        <v>0</v>
      </c>
      <c r="S21" s="1">
        <v>0.52631578899999998</v>
      </c>
      <c r="T21" s="1">
        <v>1</v>
      </c>
    </row>
    <row r="22" spans="1:20">
      <c r="A22">
        <v>9</v>
      </c>
      <c r="B22">
        <v>135770117</v>
      </c>
      <c r="C22" t="str">
        <f t="shared" si="0"/>
        <v>9:135770117</v>
      </c>
      <c r="D22">
        <v>3</v>
      </c>
      <c r="E22" s="1">
        <v>7.7720207299999998E-3</v>
      </c>
      <c r="F22">
        <v>4</v>
      </c>
      <c r="G22">
        <v>1</v>
      </c>
      <c r="H22" s="4">
        <v>0</v>
      </c>
      <c r="I22">
        <v>24</v>
      </c>
      <c r="J22">
        <v>0</v>
      </c>
      <c r="K22">
        <v>0</v>
      </c>
      <c r="L22">
        <v>0</v>
      </c>
      <c r="M22">
        <v>0</v>
      </c>
      <c r="N22">
        <v>0</v>
      </c>
      <c r="O22" t="str">
        <f t="shared" si="1"/>
        <v>C</v>
      </c>
      <c r="P22" t="str">
        <f t="shared" si="2"/>
        <v>T</v>
      </c>
      <c r="Q22">
        <f>IF(M22=0,0,VLOOKUP(M22,'aa codes'!$A$1:'aa codes'!$B$21,2))</f>
        <v>0</v>
      </c>
      <c r="R22">
        <f>IF(N22=0,0,VLOOKUP(N22,'aa codes'!$A$1:'aa codes'!$B$21,2))</f>
        <v>0</v>
      </c>
      <c r="S22" s="1">
        <v>0</v>
      </c>
      <c r="T22" s="1">
        <v>7.7720207299999998E-3</v>
      </c>
    </row>
    <row r="23" spans="1:20">
      <c r="A23">
        <v>9</v>
      </c>
      <c r="B23">
        <v>135770123</v>
      </c>
      <c r="C23" t="str">
        <f t="shared" si="0"/>
        <v>9:135770123</v>
      </c>
      <c r="D23">
        <v>2</v>
      </c>
      <c r="E23" s="1">
        <v>9.1012514199999995E-3</v>
      </c>
      <c r="F23">
        <v>4</v>
      </c>
      <c r="G23">
        <v>1</v>
      </c>
      <c r="H23" s="4">
        <v>0</v>
      </c>
      <c r="I23">
        <v>24</v>
      </c>
      <c r="J23">
        <v>0</v>
      </c>
      <c r="K23">
        <v>0</v>
      </c>
      <c r="L23">
        <v>0</v>
      </c>
      <c r="M23">
        <v>0</v>
      </c>
      <c r="N23">
        <v>0</v>
      </c>
      <c r="O23" t="str">
        <f t="shared" si="1"/>
        <v>G</v>
      </c>
      <c r="P23" t="str">
        <f t="shared" si="2"/>
        <v>T</v>
      </c>
      <c r="Q23">
        <f>IF(M23=0,0,VLOOKUP(M23,'aa codes'!$A$1:'aa codes'!$B$21,2))</f>
        <v>0</v>
      </c>
      <c r="R23">
        <f>IF(N23=0,0,VLOOKUP(N23,'aa codes'!$A$1:'aa codes'!$B$21,2))</f>
        <v>0</v>
      </c>
      <c r="S23" s="1">
        <v>9.1012514199999995E-3</v>
      </c>
      <c r="T23" s="1">
        <v>2.2675737E-3</v>
      </c>
    </row>
    <row r="24" spans="1:20">
      <c r="A24">
        <v>9</v>
      </c>
      <c r="B24">
        <v>135770124</v>
      </c>
      <c r="C24" t="str">
        <f t="shared" si="0"/>
        <v>9:135770124</v>
      </c>
      <c r="D24">
        <v>1</v>
      </c>
      <c r="E24" s="1">
        <v>7.2463768099999999E-3</v>
      </c>
      <c r="F24">
        <v>2</v>
      </c>
      <c r="G24">
        <v>2</v>
      </c>
      <c r="H24" s="4">
        <v>0</v>
      </c>
      <c r="I24">
        <v>24</v>
      </c>
      <c r="J24">
        <v>0</v>
      </c>
      <c r="K24">
        <v>0</v>
      </c>
      <c r="L24">
        <v>0</v>
      </c>
      <c r="M24">
        <v>0</v>
      </c>
      <c r="N24">
        <v>0</v>
      </c>
      <c r="O24" t="str">
        <f t="shared" si="1"/>
        <v>A</v>
      </c>
      <c r="P24" t="str">
        <f t="shared" si="2"/>
        <v>G</v>
      </c>
      <c r="Q24">
        <f>IF(M24=0,0,VLOOKUP(M24,'aa codes'!$A$1:'aa codes'!$B$21,2))</f>
        <v>0</v>
      </c>
      <c r="R24">
        <f>IF(N24=0,0,VLOOKUP(N24,'aa codes'!$A$1:'aa codes'!$B$21,2))</f>
        <v>0</v>
      </c>
      <c r="S24" s="1">
        <v>6.8649885600000002E-3</v>
      </c>
      <c r="T24" s="1">
        <v>7.2463768099999999E-3</v>
      </c>
    </row>
    <row r="25" spans="1:20">
      <c r="A25">
        <v>9</v>
      </c>
      <c r="B25">
        <v>135770129</v>
      </c>
      <c r="C25" t="str">
        <f t="shared" si="0"/>
        <v>9:135770129</v>
      </c>
      <c r="D25">
        <v>4</v>
      </c>
      <c r="E25" s="1">
        <v>1.03092784E-2</v>
      </c>
      <c r="F25">
        <v>3</v>
      </c>
      <c r="G25">
        <v>1</v>
      </c>
      <c r="H25" s="4">
        <v>0</v>
      </c>
      <c r="I25">
        <v>24</v>
      </c>
      <c r="J25">
        <v>0</v>
      </c>
      <c r="K25">
        <v>0</v>
      </c>
      <c r="L25">
        <v>0</v>
      </c>
      <c r="M25">
        <v>0</v>
      </c>
      <c r="N25">
        <v>0</v>
      </c>
      <c r="O25" t="str">
        <f t="shared" si="1"/>
        <v>T</v>
      </c>
      <c r="P25" t="str">
        <f t="shared" si="2"/>
        <v>C</v>
      </c>
      <c r="Q25">
        <f>IF(M25=0,0,VLOOKUP(M25,'aa codes'!$A$1:'aa codes'!$B$21,2))</f>
        <v>0</v>
      </c>
      <c r="R25">
        <f>IF(N25=0,0,VLOOKUP(N25,'aa codes'!$A$1:'aa codes'!$B$21,2))</f>
        <v>0</v>
      </c>
      <c r="S25" s="1">
        <v>1.0917030600000001E-3</v>
      </c>
      <c r="T25" s="1">
        <v>1.03092784E-2</v>
      </c>
    </row>
    <row r="26" spans="1:20">
      <c r="A26">
        <v>9</v>
      </c>
      <c r="B26">
        <v>135770132</v>
      </c>
      <c r="C26" t="str">
        <f t="shared" si="0"/>
        <v>9:135770132</v>
      </c>
      <c r="D26">
        <v>2</v>
      </c>
      <c r="E26" s="1">
        <v>6.2111801199999997E-3</v>
      </c>
      <c r="F26">
        <v>4</v>
      </c>
      <c r="G26">
        <v>2</v>
      </c>
      <c r="H26" s="4">
        <v>0</v>
      </c>
      <c r="I26">
        <v>24</v>
      </c>
      <c r="J26">
        <v>0</v>
      </c>
      <c r="K26">
        <v>0</v>
      </c>
      <c r="L26">
        <v>0</v>
      </c>
      <c r="M26">
        <v>0</v>
      </c>
      <c r="N26">
        <v>0</v>
      </c>
      <c r="O26" t="str">
        <f t="shared" si="1"/>
        <v>G</v>
      </c>
      <c r="P26" t="str">
        <f t="shared" si="2"/>
        <v>T</v>
      </c>
      <c r="Q26">
        <f>IF(M26=0,0,VLOOKUP(M26,'aa codes'!$A$1:'aa codes'!$B$21,2))</f>
        <v>0</v>
      </c>
      <c r="R26">
        <f>IF(N26=0,0,VLOOKUP(N26,'aa codes'!$A$1:'aa codes'!$B$21,2))</f>
        <v>0</v>
      </c>
      <c r="S26" s="1">
        <v>5.5248618799999998E-3</v>
      </c>
      <c r="T26" s="1">
        <v>6.2111801199999997E-3</v>
      </c>
    </row>
    <row r="27" spans="1:20">
      <c r="A27">
        <v>9</v>
      </c>
      <c r="B27">
        <v>135770134</v>
      </c>
      <c r="C27" t="str">
        <f t="shared" si="0"/>
        <v>9:135770134</v>
      </c>
      <c r="D27">
        <v>2</v>
      </c>
      <c r="E27" s="1">
        <v>0.49407114600000002</v>
      </c>
      <c r="F27">
        <v>1</v>
      </c>
      <c r="G27">
        <v>2</v>
      </c>
      <c r="H27" s="4">
        <v>0.44779999999999998</v>
      </c>
      <c r="I27">
        <v>24</v>
      </c>
      <c r="J27">
        <v>0</v>
      </c>
      <c r="K27">
        <v>0</v>
      </c>
      <c r="L27">
        <v>0</v>
      </c>
      <c r="M27">
        <v>0</v>
      </c>
      <c r="N27">
        <v>0</v>
      </c>
      <c r="O27" t="str">
        <f t="shared" si="1"/>
        <v>G</v>
      </c>
      <c r="P27" t="str">
        <f t="shared" si="2"/>
        <v>A</v>
      </c>
      <c r="Q27">
        <f>IF(M27=0,0,VLOOKUP(M27,'aa codes'!$A$1:'aa codes'!$B$21,2))</f>
        <v>0</v>
      </c>
      <c r="R27">
        <f>IF(N27=0,0,VLOOKUP(N27,'aa codes'!$A$1:'aa codes'!$B$21,2))</f>
        <v>0</v>
      </c>
      <c r="S27" s="1">
        <v>0.474437628</v>
      </c>
      <c r="T27" s="1">
        <v>0.49407114600000002</v>
      </c>
    </row>
    <row r="28" spans="1:20">
      <c r="A28">
        <v>9</v>
      </c>
      <c r="B28">
        <v>135770148</v>
      </c>
      <c r="C28" t="str">
        <f t="shared" si="0"/>
        <v>9:135770148</v>
      </c>
      <c r="D28">
        <v>3</v>
      </c>
      <c r="E28" s="1">
        <v>5.0505050500000001E-3</v>
      </c>
      <c r="F28">
        <v>4</v>
      </c>
      <c r="G28">
        <v>1</v>
      </c>
      <c r="H28" s="4">
        <v>7.8140000000000002E-4</v>
      </c>
      <c r="I28">
        <v>24</v>
      </c>
      <c r="J28">
        <v>0</v>
      </c>
      <c r="K28">
        <v>0</v>
      </c>
      <c r="L28">
        <v>0</v>
      </c>
      <c r="M28">
        <v>0</v>
      </c>
      <c r="N28">
        <v>0</v>
      </c>
      <c r="O28" t="str">
        <f t="shared" si="1"/>
        <v>C</v>
      </c>
      <c r="P28" t="str">
        <f t="shared" si="2"/>
        <v>T</v>
      </c>
      <c r="Q28">
        <f>IF(M28=0,0,VLOOKUP(M28,'aa codes'!$A$1:'aa codes'!$B$21,2))</f>
        <v>0</v>
      </c>
      <c r="R28">
        <f>IF(N28=0,0,VLOOKUP(N28,'aa codes'!$A$1:'aa codes'!$B$21,2))</f>
        <v>0</v>
      </c>
      <c r="S28" s="1">
        <v>0</v>
      </c>
      <c r="T28" s="1">
        <v>5.0505050500000001E-3</v>
      </c>
    </row>
    <row r="29" spans="1:20">
      <c r="A29">
        <v>9</v>
      </c>
      <c r="B29">
        <v>135770149</v>
      </c>
      <c r="C29" t="str">
        <f t="shared" si="0"/>
        <v>9:135770149</v>
      </c>
      <c r="D29">
        <v>2</v>
      </c>
      <c r="E29" s="1">
        <v>2.2222222199999999E-2</v>
      </c>
      <c r="F29">
        <v>4</v>
      </c>
      <c r="G29">
        <v>2</v>
      </c>
      <c r="H29" s="4">
        <v>0</v>
      </c>
      <c r="I29">
        <v>24</v>
      </c>
      <c r="J29">
        <v>0</v>
      </c>
      <c r="K29">
        <v>0</v>
      </c>
      <c r="L29">
        <v>0</v>
      </c>
      <c r="M29">
        <v>0</v>
      </c>
      <c r="N29">
        <v>0</v>
      </c>
      <c r="O29" t="str">
        <f t="shared" si="1"/>
        <v>G</v>
      </c>
      <c r="P29" t="str">
        <f t="shared" si="2"/>
        <v>T</v>
      </c>
      <c r="Q29">
        <f>IF(M29=0,0,VLOOKUP(M29,'aa codes'!$A$1:'aa codes'!$B$21,2))</f>
        <v>0</v>
      </c>
      <c r="R29">
        <f>IF(N29=0,0,VLOOKUP(N29,'aa codes'!$A$1:'aa codes'!$B$21,2))</f>
        <v>0</v>
      </c>
      <c r="S29" s="1">
        <v>1.47368421E-2</v>
      </c>
      <c r="T29" s="1">
        <v>2.2222222199999999E-2</v>
      </c>
    </row>
    <row r="30" spans="1:20">
      <c r="A30">
        <v>9</v>
      </c>
      <c r="B30">
        <v>135770160</v>
      </c>
      <c r="C30" t="str">
        <f t="shared" si="0"/>
        <v>9:135770160</v>
      </c>
      <c r="D30">
        <v>2</v>
      </c>
      <c r="E30" s="1">
        <v>5.8083252700000003E-3</v>
      </c>
      <c r="F30">
        <v>4</v>
      </c>
      <c r="G30">
        <v>1</v>
      </c>
      <c r="H30" s="4">
        <v>0</v>
      </c>
      <c r="I30">
        <v>24</v>
      </c>
      <c r="J30">
        <v>0</v>
      </c>
      <c r="K30">
        <v>0</v>
      </c>
      <c r="L30">
        <v>0</v>
      </c>
      <c r="M30">
        <v>0</v>
      </c>
      <c r="N30">
        <v>0</v>
      </c>
      <c r="O30" t="str">
        <f t="shared" si="1"/>
        <v>G</v>
      </c>
      <c r="P30" t="str">
        <f t="shared" si="2"/>
        <v>T</v>
      </c>
      <c r="Q30">
        <f>IF(M30=0,0,VLOOKUP(M30,'aa codes'!$A$1:'aa codes'!$B$21,2))</f>
        <v>0</v>
      </c>
      <c r="R30">
        <f>IF(N30=0,0,VLOOKUP(N30,'aa codes'!$A$1:'aa codes'!$B$21,2))</f>
        <v>0</v>
      </c>
      <c r="S30" s="1">
        <v>5.8083252700000003E-3</v>
      </c>
      <c r="T30" s="1">
        <v>0</v>
      </c>
    </row>
    <row r="31" spans="1:20">
      <c r="A31">
        <v>9</v>
      </c>
      <c r="B31">
        <v>135770250</v>
      </c>
      <c r="C31" t="str">
        <f t="shared" si="0"/>
        <v>9:135770250</v>
      </c>
      <c r="D31">
        <v>1</v>
      </c>
      <c r="E31" s="1">
        <v>0.49072753200000002</v>
      </c>
      <c r="F31">
        <v>3</v>
      </c>
      <c r="G31">
        <v>1</v>
      </c>
      <c r="H31" s="4">
        <v>0.24099999999999999</v>
      </c>
      <c r="I31">
        <v>24</v>
      </c>
      <c r="J31">
        <v>0</v>
      </c>
      <c r="K31">
        <v>0</v>
      </c>
      <c r="L31">
        <v>0</v>
      </c>
      <c r="M31">
        <v>0</v>
      </c>
      <c r="N31">
        <v>0</v>
      </c>
      <c r="O31" t="str">
        <f t="shared" si="1"/>
        <v>A</v>
      </c>
      <c r="P31" t="str">
        <f t="shared" si="2"/>
        <v>C</v>
      </c>
      <c r="Q31">
        <f>IF(M31=0,0,VLOOKUP(M31,'aa codes'!$A$1:'aa codes'!$B$21,2))</f>
        <v>0</v>
      </c>
      <c r="R31">
        <f>IF(N31=0,0,VLOOKUP(N31,'aa codes'!$A$1:'aa codes'!$B$21,2))</f>
        <v>0</v>
      </c>
      <c r="S31" s="1">
        <v>0</v>
      </c>
      <c r="T31" s="1">
        <v>0.49072753200000002</v>
      </c>
    </row>
    <row r="32" spans="1:20">
      <c r="A32">
        <v>9</v>
      </c>
      <c r="B32">
        <v>135770300</v>
      </c>
      <c r="C32" t="str">
        <f t="shared" si="0"/>
        <v>9:135770300</v>
      </c>
      <c r="D32">
        <v>2</v>
      </c>
      <c r="E32" s="1">
        <v>0.52021089600000003</v>
      </c>
      <c r="F32">
        <v>1</v>
      </c>
      <c r="G32">
        <v>2</v>
      </c>
      <c r="H32" s="4">
        <v>0.5514</v>
      </c>
      <c r="I32">
        <v>24</v>
      </c>
      <c r="J32">
        <v>0</v>
      </c>
      <c r="K32">
        <v>0</v>
      </c>
      <c r="L32">
        <v>0</v>
      </c>
      <c r="M32">
        <v>0</v>
      </c>
      <c r="N32">
        <v>0</v>
      </c>
      <c r="O32" t="str">
        <f t="shared" si="1"/>
        <v>G</v>
      </c>
      <c r="P32" t="str">
        <f t="shared" si="2"/>
        <v>A</v>
      </c>
      <c r="Q32">
        <f>IF(M32=0,0,VLOOKUP(M32,'aa codes'!$A$1:'aa codes'!$B$21,2))</f>
        <v>0</v>
      </c>
      <c r="R32">
        <f>IF(N32=0,0,VLOOKUP(N32,'aa codes'!$A$1:'aa codes'!$B$21,2))</f>
        <v>0</v>
      </c>
      <c r="S32" s="1">
        <v>0.52021089600000003</v>
      </c>
      <c r="T32" s="1">
        <v>0.51105331600000004</v>
      </c>
    </row>
    <row r="33" spans="1:20">
      <c r="A33">
        <v>9</v>
      </c>
      <c r="B33">
        <v>135770347</v>
      </c>
      <c r="C33" t="str">
        <f t="shared" si="0"/>
        <v>9:135770347</v>
      </c>
      <c r="D33">
        <v>1</v>
      </c>
      <c r="E33" s="1">
        <v>0.99876237599999995</v>
      </c>
      <c r="F33">
        <v>3</v>
      </c>
      <c r="G33">
        <v>2</v>
      </c>
      <c r="H33" s="4">
        <v>0.74419999999999997</v>
      </c>
      <c r="I33">
        <v>24</v>
      </c>
      <c r="J33">
        <v>0</v>
      </c>
      <c r="K33">
        <v>0</v>
      </c>
      <c r="L33">
        <v>0</v>
      </c>
      <c r="M33">
        <v>0</v>
      </c>
      <c r="N33">
        <v>0</v>
      </c>
      <c r="O33" t="str">
        <f t="shared" si="1"/>
        <v>A</v>
      </c>
      <c r="P33" t="str">
        <f t="shared" si="2"/>
        <v>C</v>
      </c>
      <c r="Q33">
        <f>IF(M33=0,0,VLOOKUP(M33,'aa codes'!$A$1:'aa codes'!$B$21,2))</f>
        <v>0</v>
      </c>
      <c r="R33">
        <f>IF(N33=0,0,VLOOKUP(N33,'aa codes'!$A$1:'aa codes'!$B$21,2))</f>
        <v>0</v>
      </c>
      <c r="S33" s="1">
        <v>0.50264550299999999</v>
      </c>
      <c r="T33" s="1">
        <v>0.99876237599999995</v>
      </c>
    </row>
    <row r="34" spans="1:20">
      <c r="A34">
        <v>9</v>
      </c>
      <c r="B34">
        <v>135772925</v>
      </c>
      <c r="C34" t="str">
        <f t="shared" si="0"/>
        <v>9:135772925</v>
      </c>
      <c r="D34">
        <v>2</v>
      </c>
      <c r="E34" s="1">
        <v>5.6925996199999997E-3</v>
      </c>
      <c r="F34">
        <v>4</v>
      </c>
      <c r="G34">
        <v>1</v>
      </c>
      <c r="H34" s="4">
        <v>0</v>
      </c>
      <c r="I34">
        <v>21</v>
      </c>
      <c r="J34">
        <v>0</v>
      </c>
      <c r="K34">
        <v>2698</v>
      </c>
      <c r="L34">
        <v>900</v>
      </c>
      <c r="M34">
        <v>104</v>
      </c>
      <c r="N34">
        <v>121</v>
      </c>
      <c r="O34" t="str">
        <f t="shared" si="1"/>
        <v>G</v>
      </c>
      <c r="P34" t="str">
        <f t="shared" si="2"/>
        <v>T</v>
      </c>
      <c r="Q34" t="str">
        <f>IF(M34=0,0,VLOOKUP(M34,'aa codes'!$A$1:'aa codes'!$B$21,2))</f>
        <v>E</v>
      </c>
      <c r="R34" t="str">
        <f>IF(N34=0,0,VLOOKUP(N34,'aa codes'!$A$1:'aa codes'!$B$21,2))</f>
        <v>*</v>
      </c>
      <c r="S34" s="1">
        <v>5.6925996199999997E-3</v>
      </c>
      <c r="T34" s="1">
        <v>0</v>
      </c>
    </row>
    <row r="35" spans="1:20">
      <c r="A35">
        <v>9</v>
      </c>
      <c r="B35">
        <v>135772950</v>
      </c>
      <c r="C35" t="str">
        <f t="shared" si="0"/>
        <v>9:135772950</v>
      </c>
      <c r="D35">
        <v>2</v>
      </c>
      <c r="E35" s="1">
        <v>5.42888165E-3</v>
      </c>
      <c r="F35">
        <v>4</v>
      </c>
      <c r="G35">
        <v>1</v>
      </c>
      <c r="H35" s="4">
        <v>0</v>
      </c>
      <c r="I35">
        <v>21</v>
      </c>
      <c r="J35">
        <v>0</v>
      </c>
      <c r="K35">
        <v>2673</v>
      </c>
      <c r="L35">
        <v>891</v>
      </c>
      <c r="M35">
        <v>109</v>
      </c>
      <c r="N35">
        <v>112</v>
      </c>
      <c r="O35" t="str">
        <f t="shared" si="1"/>
        <v>G</v>
      </c>
      <c r="P35" t="str">
        <f t="shared" si="2"/>
        <v>T</v>
      </c>
      <c r="Q35" t="str">
        <f>IF(M35=0,0,VLOOKUP(M35,'aa codes'!$A$1:'aa codes'!$B$21,2))</f>
        <v>K</v>
      </c>
      <c r="R35" t="str">
        <f>IF(N35=0,0,VLOOKUP(N35,'aa codes'!$A$1:'aa codes'!$B$21,2))</f>
        <v>N</v>
      </c>
      <c r="S35" s="1">
        <v>5.42888165E-3</v>
      </c>
      <c r="T35" s="1">
        <v>0</v>
      </c>
    </row>
    <row r="36" spans="1:20">
      <c r="A36">
        <v>9</v>
      </c>
      <c r="B36">
        <v>135772978</v>
      </c>
      <c r="C36" t="str">
        <f t="shared" si="0"/>
        <v>9:135772978</v>
      </c>
      <c r="D36">
        <v>2</v>
      </c>
      <c r="E36" s="1">
        <v>5.0632911399999996E-3</v>
      </c>
      <c r="F36">
        <v>1</v>
      </c>
      <c r="G36">
        <v>1</v>
      </c>
      <c r="H36" s="4">
        <v>0</v>
      </c>
      <c r="I36">
        <v>21</v>
      </c>
      <c r="J36">
        <v>0</v>
      </c>
      <c r="K36">
        <v>2645</v>
      </c>
      <c r="L36">
        <v>882</v>
      </c>
      <c r="M36">
        <v>106</v>
      </c>
      <c r="N36">
        <v>103</v>
      </c>
      <c r="O36" t="str">
        <f t="shared" si="1"/>
        <v>G</v>
      </c>
      <c r="P36" t="str">
        <f t="shared" si="2"/>
        <v>A</v>
      </c>
      <c r="Q36" t="str">
        <f>IF(M36=0,0,VLOOKUP(M36,'aa codes'!$A$1:'aa codes'!$B$21,2))</f>
        <v>G</v>
      </c>
      <c r="R36" t="str">
        <f>IF(N36=0,0,VLOOKUP(N36,'aa codes'!$A$1:'aa codes'!$B$21,2))</f>
        <v>D</v>
      </c>
      <c r="S36" s="1">
        <v>0</v>
      </c>
      <c r="T36" s="1">
        <v>5.0632911399999996E-3</v>
      </c>
    </row>
    <row r="37" spans="1:20">
      <c r="A37">
        <v>9</v>
      </c>
      <c r="B37">
        <v>135772999</v>
      </c>
      <c r="C37" t="str">
        <f t="shared" si="0"/>
        <v>9:135772999</v>
      </c>
      <c r="D37">
        <v>4</v>
      </c>
      <c r="E37" s="1">
        <v>1.9108280299999999E-2</v>
      </c>
      <c r="F37">
        <v>2</v>
      </c>
      <c r="G37">
        <v>2</v>
      </c>
      <c r="H37" s="4">
        <v>0</v>
      </c>
      <c r="I37">
        <v>21</v>
      </c>
      <c r="J37">
        <v>-2</v>
      </c>
      <c r="K37">
        <v>0</v>
      </c>
      <c r="L37">
        <v>0</v>
      </c>
      <c r="M37">
        <v>0</v>
      </c>
      <c r="N37">
        <v>0</v>
      </c>
      <c r="O37" t="str">
        <f t="shared" si="1"/>
        <v>T</v>
      </c>
      <c r="P37" t="str">
        <f t="shared" si="2"/>
        <v>G</v>
      </c>
      <c r="Q37">
        <f>IF(M37=0,0,VLOOKUP(M37,'aa codes'!$A$1:'aa codes'!$B$21,2))</f>
        <v>0</v>
      </c>
      <c r="R37">
        <f>IF(N37=0,0,VLOOKUP(N37,'aa codes'!$A$1:'aa codes'!$B$21,2))</f>
        <v>0</v>
      </c>
      <c r="S37" s="1">
        <v>1.6539440200000002E-2</v>
      </c>
      <c r="T37" s="1">
        <v>1.9108280299999999E-2</v>
      </c>
    </row>
    <row r="38" spans="1:20">
      <c r="A38">
        <v>9</v>
      </c>
      <c r="B38">
        <v>135773000</v>
      </c>
      <c r="C38" t="str">
        <f t="shared" si="0"/>
        <v>9:135773000</v>
      </c>
      <c r="D38">
        <v>2</v>
      </c>
      <c r="E38" s="1">
        <v>3.2934131700000001E-2</v>
      </c>
      <c r="F38">
        <v>1</v>
      </c>
      <c r="G38">
        <v>2</v>
      </c>
      <c r="H38" s="4">
        <v>0</v>
      </c>
      <c r="I38">
        <v>21</v>
      </c>
      <c r="J38">
        <v>-3</v>
      </c>
      <c r="K38">
        <v>0</v>
      </c>
      <c r="L38">
        <v>0</v>
      </c>
      <c r="M38">
        <v>0</v>
      </c>
      <c r="N38">
        <v>0</v>
      </c>
      <c r="O38" t="str">
        <f t="shared" si="1"/>
        <v>G</v>
      </c>
      <c r="P38" t="str">
        <f t="shared" si="2"/>
        <v>A</v>
      </c>
      <c r="Q38">
        <f>IF(M38=0,0,VLOOKUP(M38,'aa codes'!$A$1:'aa codes'!$B$21,2))</f>
        <v>0</v>
      </c>
      <c r="R38">
        <f>IF(N38=0,0,VLOOKUP(N38,'aa codes'!$A$1:'aa codes'!$B$21,2))</f>
        <v>0</v>
      </c>
      <c r="S38" s="1">
        <v>3.2934131700000001E-2</v>
      </c>
      <c r="T38" s="1">
        <v>1.8279569900000001E-2</v>
      </c>
    </row>
    <row r="39" spans="1:20">
      <c r="A39">
        <v>9</v>
      </c>
      <c r="B39">
        <v>135773002</v>
      </c>
      <c r="C39" t="str">
        <f t="shared" si="0"/>
        <v>9:135773002</v>
      </c>
      <c r="D39">
        <v>1</v>
      </c>
      <c r="E39" s="1">
        <v>5.8823529400000001E-3</v>
      </c>
      <c r="F39">
        <v>2</v>
      </c>
      <c r="G39">
        <v>1</v>
      </c>
      <c r="H39" s="4">
        <v>0</v>
      </c>
      <c r="I39">
        <v>21</v>
      </c>
      <c r="J39">
        <v>-5</v>
      </c>
      <c r="K39">
        <v>0</v>
      </c>
      <c r="L39">
        <v>0</v>
      </c>
      <c r="M39">
        <v>0</v>
      </c>
      <c r="N39">
        <v>0</v>
      </c>
      <c r="O39" t="str">
        <f t="shared" si="1"/>
        <v>A</v>
      </c>
      <c r="P39" t="str">
        <f t="shared" si="2"/>
        <v>G</v>
      </c>
      <c r="Q39">
        <f>IF(M39=0,0,VLOOKUP(M39,'aa codes'!$A$1:'aa codes'!$B$21,2))</f>
        <v>0</v>
      </c>
      <c r="R39">
        <f>IF(N39=0,0,VLOOKUP(N39,'aa codes'!$A$1:'aa codes'!$B$21,2))</f>
        <v>0</v>
      </c>
      <c r="S39" s="1">
        <v>4.8426150099999997E-3</v>
      </c>
      <c r="T39" s="1">
        <v>5.8823529400000001E-3</v>
      </c>
    </row>
    <row r="40" spans="1:20">
      <c r="A40">
        <v>9</v>
      </c>
      <c r="B40">
        <v>135773017</v>
      </c>
      <c r="C40" t="str">
        <f t="shared" si="0"/>
        <v>9:135773017</v>
      </c>
      <c r="D40">
        <v>1</v>
      </c>
      <c r="E40" s="1">
        <v>8.7431694000000004E-3</v>
      </c>
      <c r="F40">
        <v>2</v>
      </c>
      <c r="G40">
        <v>1</v>
      </c>
      <c r="H40" s="4">
        <v>0</v>
      </c>
      <c r="I40">
        <v>21</v>
      </c>
      <c r="J40">
        <v>-20</v>
      </c>
      <c r="K40">
        <v>0</v>
      </c>
      <c r="L40">
        <v>0</v>
      </c>
      <c r="M40">
        <v>0</v>
      </c>
      <c r="N40">
        <v>0</v>
      </c>
      <c r="O40" t="str">
        <f t="shared" si="1"/>
        <v>A</v>
      </c>
      <c r="P40" t="str">
        <f t="shared" si="2"/>
        <v>G</v>
      </c>
      <c r="Q40">
        <f>IF(M40=0,0,VLOOKUP(M40,'aa codes'!$A$1:'aa codes'!$B$21,2))</f>
        <v>0</v>
      </c>
      <c r="R40">
        <f>IF(N40=0,0,VLOOKUP(N40,'aa codes'!$A$1:'aa codes'!$B$21,2))</f>
        <v>0</v>
      </c>
      <c r="S40" s="1">
        <v>8.7431694000000004E-3</v>
      </c>
      <c r="T40" s="1">
        <v>3.3840947499999999E-3</v>
      </c>
    </row>
    <row r="41" spans="1:20">
      <c r="A41">
        <v>9</v>
      </c>
      <c r="B41">
        <v>135773019</v>
      </c>
      <c r="C41" t="str">
        <f t="shared" si="0"/>
        <v>9:135773019</v>
      </c>
      <c r="D41">
        <v>2</v>
      </c>
      <c r="E41" s="1">
        <v>4.71567268E-2</v>
      </c>
      <c r="F41">
        <v>1</v>
      </c>
      <c r="G41">
        <v>2</v>
      </c>
      <c r="H41" s="4">
        <v>0</v>
      </c>
      <c r="I41">
        <v>21</v>
      </c>
      <c r="J41">
        <v>-22</v>
      </c>
      <c r="K41">
        <v>0</v>
      </c>
      <c r="L41">
        <v>0</v>
      </c>
      <c r="M41">
        <v>0</v>
      </c>
      <c r="N41">
        <v>0</v>
      </c>
      <c r="O41" t="str">
        <f t="shared" si="1"/>
        <v>G</v>
      </c>
      <c r="P41" t="str">
        <f t="shared" si="2"/>
        <v>A</v>
      </c>
      <c r="Q41">
        <f>IF(M41=0,0,VLOOKUP(M41,'aa codes'!$A$1:'aa codes'!$B$21,2))</f>
        <v>0</v>
      </c>
      <c r="R41">
        <f>IF(N41=0,0,VLOOKUP(N41,'aa codes'!$A$1:'aa codes'!$B$21,2))</f>
        <v>0</v>
      </c>
      <c r="S41" s="1">
        <v>4.71567268E-2</v>
      </c>
      <c r="T41" s="1">
        <v>4.3478260900000003E-2</v>
      </c>
    </row>
    <row r="42" spans="1:20">
      <c r="A42">
        <v>9</v>
      </c>
      <c r="B42">
        <v>135773021</v>
      </c>
      <c r="C42" t="str">
        <f t="shared" si="0"/>
        <v>9:135773021</v>
      </c>
      <c r="D42">
        <v>3</v>
      </c>
      <c r="E42" s="1">
        <v>1.14678899E-2</v>
      </c>
      <c r="F42">
        <v>1</v>
      </c>
      <c r="G42">
        <v>2</v>
      </c>
      <c r="H42" s="4">
        <v>0</v>
      </c>
      <c r="I42">
        <v>21</v>
      </c>
      <c r="J42">
        <v>-24</v>
      </c>
      <c r="K42">
        <v>0</v>
      </c>
      <c r="L42">
        <v>0</v>
      </c>
      <c r="M42">
        <v>0</v>
      </c>
      <c r="N42">
        <v>0</v>
      </c>
      <c r="O42" t="str">
        <f t="shared" si="1"/>
        <v>C</v>
      </c>
      <c r="P42" t="str">
        <f t="shared" si="2"/>
        <v>A</v>
      </c>
      <c r="Q42">
        <f>IF(M42=0,0,VLOOKUP(M42,'aa codes'!$A$1:'aa codes'!$B$21,2))</f>
        <v>0</v>
      </c>
      <c r="R42">
        <f>IF(N42=0,0,VLOOKUP(N42,'aa codes'!$A$1:'aa codes'!$B$21,2))</f>
        <v>0</v>
      </c>
      <c r="S42" s="1">
        <v>7.9155672800000007E-3</v>
      </c>
      <c r="T42" s="1">
        <v>1.14678899E-2</v>
      </c>
    </row>
    <row r="43" spans="1:20">
      <c r="A43">
        <v>9</v>
      </c>
      <c r="B43">
        <v>135773022</v>
      </c>
      <c r="C43" t="str">
        <f t="shared" si="0"/>
        <v>9:135773022</v>
      </c>
      <c r="D43">
        <v>4</v>
      </c>
      <c r="E43" s="1">
        <v>5.9171597600000004E-3</v>
      </c>
      <c r="F43">
        <v>1</v>
      </c>
      <c r="G43">
        <v>1</v>
      </c>
      <c r="H43" s="4">
        <v>0</v>
      </c>
      <c r="I43">
        <v>21</v>
      </c>
      <c r="J43">
        <v>-25</v>
      </c>
      <c r="K43">
        <v>0</v>
      </c>
      <c r="L43">
        <v>0</v>
      </c>
      <c r="M43">
        <v>0</v>
      </c>
      <c r="N43">
        <v>0</v>
      </c>
      <c r="O43" t="str">
        <f t="shared" si="1"/>
        <v>T</v>
      </c>
      <c r="P43" t="str">
        <f t="shared" si="2"/>
        <v>A</v>
      </c>
      <c r="Q43">
        <f>IF(M43=0,0,VLOOKUP(M43,'aa codes'!$A$1:'aa codes'!$B$21,2))</f>
        <v>0</v>
      </c>
      <c r="R43">
        <f>IF(N43=0,0,VLOOKUP(N43,'aa codes'!$A$1:'aa codes'!$B$21,2))</f>
        <v>0</v>
      </c>
      <c r="S43" s="1">
        <v>2.4783147500000002E-3</v>
      </c>
      <c r="T43" s="1">
        <v>5.9171597600000004E-3</v>
      </c>
    </row>
    <row r="44" spans="1:20">
      <c r="A44">
        <v>9</v>
      </c>
      <c r="B44">
        <v>135773044</v>
      </c>
      <c r="C44" t="str">
        <f t="shared" si="0"/>
        <v>9:135773044</v>
      </c>
      <c r="D44">
        <v>4</v>
      </c>
      <c r="E44" s="1">
        <v>6.5616797900000003E-3</v>
      </c>
      <c r="F44">
        <v>1</v>
      </c>
      <c r="G44">
        <v>1</v>
      </c>
      <c r="H44" s="4">
        <v>0</v>
      </c>
      <c r="I44">
        <v>21</v>
      </c>
      <c r="J44">
        <v>-47</v>
      </c>
      <c r="K44">
        <v>0</v>
      </c>
      <c r="L44">
        <v>0</v>
      </c>
      <c r="M44">
        <v>0</v>
      </c>
      <c r="N44">
        <v>0</v>
      </c>
      <c r="O44" t="str">
        <f t="shared" si="1"/>
        <v>T</v>
      </c>
      <c r="P44" t="str">
        <f t="shared" si="2"/>
        <v>A</v>
      </c>
      <c r="Q44">
        <f>IF(M44=0,0,VLOOKUP(M44,'aa codes'!$A$1:'aa codes'!$B$21,2))</f>
        <v>0</v>
      </c>
      <c r="R44">
        <f>IF(N44=0,0,VLOOKUP(N44,'aa codes'!$A$1:'aa codes'!$B$21,2))</f>
        <v>0</v>
      </c>
      <c r="S44" s="1">
        <v>6.5616797900000003E-3</v>
      </c>
      <c r="T44" s="1">
        <v>1.8181818200000001E-3</v>
      </c>
    </row>
    <row r="45" spans="1:20">
      <c r="A45">
        <v>9</v>
      </c>
      <c r="B45">
        <v>135773048</v>
      </c>
      <c r="C45" t="str">
        <f t="shared" si="0"/>
        <v>9:135773048</v>
      </c>
      <c r="D45">
        <v>3</v>
      </c>
      <c r="E45" s="1">
        <v>3.0104711999999999E-2</v>
      </c>
      <c r="F45">
        <v>1</v>
      </c>
      <c r="G45">
        <v>2</v>
      </c>
      <c r="H45" s="4">
        <v>0</v>
      </c>
      <c r="I45">
        <v>21</v>
      </c>
      <c r="J45">
        <v>-51</v>
      </c>
      <c r="K45">
        <v>0</v>
      </c>
      <c r="L45">
        <v>0</v>
      </c>
      <c r="M45">
        <v>0</v>
      </c>
      <c r="N45">
        <v>0</v>
      </c>
      <c r="O45" t="str">
        <f t="shared" si="1"/>
        <v>C</v>
      </c>
      <c r="P45" t="str">
        <f t="shared" si="2"/>
        <v>A</v>
      </c>
      <c r="Q45">
        <f>IF(M45=0,0,VLOOKUP(M45,'aa codes'!$A$1:'aa codes'!$B$21,2))</f>
        <v>0</v>
      </c>
      <c r="R45">
        <f>IF(N45=0,0,VLOOKUP(N45,'aa codes'!$A$1:'aa codes'!$B$21,2))</f>
        <v>0</v>
      </c>
      <c r="S45" s="1">
        <v>3.0104711999999999E-2</v>
      </c>
      <c r="T45" s="1">
        <v>1.9963702400000002E-2</v>
      </c>
    </row>
    <row r="46" spans="1:20">
      <c r="A46">
        <v>9</v>
      </c>
      <c r="B46">
        <v>135773072</v>
      </c>
      <c r="C46" t="str">
        <f t="shared" si="0"/>
        <v>9:135773072</v>
      </c>
      <c r="D46">
        <v>3</v>
      </c>
      <c r="E46" s="1">
        <v>9.6969697000000004E-3</v>
      </c>
      <c r="F46">
        <v>1</v>
      </c>
      <c r="G46">
        <v>1</v>
      </c>
      <c r="H46" s="4">
        <v>0</v>
      </c>
      <c r="I46">
        <v>21</v>
      </c>
      <c r="J46">
        <v>-75</v>
      </c>
      <c r="K46">
        <v>0</v>
      </c>
      <c r="L46">
        <v>0</v>
      </c>
      <c r="M46">
        <v>0</v>
      </c>
      <c r="N46">
        <v>0</v>
      </c>
      <c r="O46" t="str">
        <f t="shared" si="1"/>
        <v>C</v>
      </c>
      <c r="P46" t="str">
        <f t="shared" si="2"/>
        <v>A</v>
      </c>
      <c r="Q46">
        <f>IF(M46=0,0,VLOOKUP(M46,'aa codes'!$A$1:'aa codes'!$B$21,2))</f>
        <v>0</v>
      </c>
      <c r="R46">
        <f>IF(N46=0,0,VLOOKUP(N46,'aa codes'!$A$1:'aa codes'!$B$21,2))</f>
        <v>0</v>
      </c>
      <c r="S46" s="1">
        <v>9.6969697000000004E-3</v>
      </c>
      <c r="T46" s="1">
        <v>1.7182130600000001E-3</v>
      </c>
    </row>
    <row r="47" spans="1:20">
      <c r="A47">
        <v>9</v>
      </c>
      <c r="B47">
        <v>135774059</v>
      </c>
      <c r="C47" t="str">
        <f t="shared" si="0"/>
        <v>9:135774059</v>
      </c>
      <c r="D47">
        <v>4</v>
      </c>
      <c r="E47" s="1">
        <v>0.51396160599999996</v>
      </c>
      <c r="F47">
        <v>3</v>
      </c>
      <c r="G47">
        <v>2</v>
      </c>
      <c r="H47" s="4">
        <v>0.38819999999999999</v>
      </c>
      <c r="I47">
        <v>21</v>
      </c>
      <c r="J47">
        <v>-1062</v>
      </c>
      <c r="K47">
        <v>0</v>
      </c>
      <c r="L47">
        <v>0</v>
      </c>
      <c r="M47">
        <v>0</v>
      </c>
      <c r="N47">
        <v>0</v>
      </c>
      <c r="O47" t="str">
        <f t="shared" si="1"/>
        <v>T</v>
      </c>
      <c r="P47" t="str">
        <f t="shared" si="2"/>
        <v>C</v>
      </c>
      <c r="Q47">
        <f>IF(M47=0,0,VLOOKUP(M47,'aa codes'!$A$1:'aa codes'!$B$21,2))</f>
        <v>0</v>
      </c>
      <c r="R47">
        <f>IF(N47=0,0,VLOOKUP(N47,'aa codes'!$A$1:'aa codes'!$B$21,2))</f>
        <v>0</v>
      </c>
      <c r="S47" s="1">
        <v>0.51396160599999996</v>
      </c>
      <c r="T47" s="1">
        <v>0.49511400700000002</v>
      </c>
    </row>
    <row r="48" spans="1:20">
      <c r="A48">
        <v>9</v>
      </c>
      <c r="B48">
        <v>135774164</v>
      </c>
      <c r="C48" t="str">
        <f t="shared" si="0"/>
        <v>9:135774164</v>
      </c>
      <c r="D48">
        <v>4</v>
      </c>
      <c r="E48" s="1">
        <v>0.49575551800000001</v>
      </c>
      <c r="F48">
        <v>3</v>
      </c>
      <c r="G48">
        <v>1</v>
      </c>
      <c r="H48" s="4">
        <v>0.25</v>
      </c>
      <c r="I48">
        <v>21</v>
      </c>
      <c r="J48">
        <v>-1167</v>
      </c>
      <c r="K48">
        <v>0</v>
      </c>
      <c r="L48">
        <v>0</v>
      </c>
      <c r="M48">
        <v>0</v>
      </c>
      <c r="N48">
        <v>0</v>
      </c>
      <c r="O48" t="str">
        <f t="shared" si="1"/>
        <v>T</v>
      </c>
      <c r="P48" t="str">
        <f t="shared" si="2"/>
        <v>C</v>
      </c>
      <c r="Q48">
        <f>IF(M48=0,0,VLOOKUP(M48,'aa codes'!$A$1:'aa codes'!$B$21,2))</f>
        <v>0</v>
      </c>
      <c r="R48">
        <f>IF(N48=0,0,VLOOKUP(N48,'aa codes'!$A$1:'aa codes'!$B$21,2))</f>
        <v>0</v>
      </c>
      <c r="S48" s="1">
        <v>0.49575551800000001</v>
      </c>
      <c r="T48" s="1">
        <v>0</v>
      </c>
    </row>
    <row r="49" spans="1:20">
      <c r="A49">
        <v>9</v>
      </c>
      <c r="B49">
        <v>135774422</v>
      </c>
      <c r="C49" t="str">
        <f t="shared" si="0"/>
        <v>9:135774422</v>
      </c>
      <c r="D49">
        <v>3</v>
      </c>
      <c r="E49" s="1">
        <v>7.8125E-3</v>
      </c>
      <c r="F49">
        <v>4</v>
      </c>
      <c r="G49">
        <v>1</v>
      </c>
      <c r="H49" s="4">
        <v>0</v>
      </c>
      <c r="I49">
        <v>21</v>
      </c>
      <c r="J49">
        <v>-1425</v>
      </c>
      <c r="K49">
        <v>0</v>
      </c>
      <c r="L49">
        <v>0</v>
      </c>
      <c r="M49">
        <v>0</v>
      </c>
      <c r="N49">
        <v>0</v>
      </c>
      <c r="O49" t="str">
        <f t="shared" si="1"/>
        <v>C</v>
      </c>
      <c r="P49" t="str">
        <f t="shared" si="2"/>
        <v>T</v>
      </c>
      <c r="Q49">
        <f>IF(M49=0,0,VLOOKUP(M49,'aa codes'!$A$1:'aa codes'!$B$21,2))</f>
        <v>0</v>
      </c>
      <c r="R49">
        <f>IF(N49=0,0,VLOOKUP(N49,'aa codes'!$A$1:'aa codes'!$B$21,2))</f>
        <v>0</v>
      </c>
      <c r="S49" s="1">
        <v>7.8125E-3</v>
      </c>
      <c r="T49" s="1">
        <v>0</v>
      </c>
    </row>
    <row r="50" spans="1:20">
      <c r="A50">
        <v>9</v>
      </c>
      <c r="B50">
        <v>135774434</v>
      </c>
      <c r="C50" t="str">
        <f t="shared" si="0"/>
        <v>9:135774434</v>
      </c>
      <c r="D50">
        <v>4</v>
      </c>
      <c r="E50" s="1">
        <v>5.5555555599999997E-3</v>
      </c>
      <c r="F50">
        <v>3</v>
      </c>
      <c r="G50">
        <v>1</v>
      </c>
      <c r="H50" s="4">
        <v>0</v>
      </c>
      <c r="I50">
        <v>21</v>
      </c>
      <c r="J50">
        <v>-1437</v>
      </c>
      <c r="K50">
        <v>0</v>
      </c>
      <c r="L50">
        <v>0</v>
      </c>
      <c r="M50">
        <v>0</v>
      </c>
      <c r="N50">
        <v>0</v>
      </c>
      <c r="O50" t="str">
        <f t="shared" si="1"/>
        <v>T</v>
      </c>
      <c r="P50" t="str">
        <f t="shared" si="2"/>
        <v>C</v>
      </c>
      <c r="Q50">
        <f>IF(M50=0,0,VLOOKUP(M50,'aa codes'!$A$1:'aa codes'!$B$21,2))</f>
        <v>0</v>
      </c>
      <c r="R50">
        <f>IF(N50=0,0,VLOOKUP(N50,'aa codes'!$A$1:'aa codes'!$B$21,2))</f>
        <v>0</v>
      </c>
      <c r="S50" s="1">
        <v>5.5555555599999997E-3</v>
      </c>
      <c r="T50" s="1">
        <v>0</v>
      </c>
    </row>
    <row r="51" spans="1:20">
      <c r="A51">
        <v>9</v>
      </c>
      <c r="B51">
        <v>135774435</v>
      </c>
      <c r="C51" t="str">
        <f t="shared" si="0"/>
        <v>9:135774435</v>
      </c>
      <c r="D51">
        <v>3</v>
      </c>
      <c r="E51" s="1">
        <v>5.6179775300000002E-3</v>
      </c>
      <c r="F51">
        <v>4</v>
      </c>
      <c r="G51">
        <v>1</v>
      </c>
      <c r="H51" s="4">
        <v>0</v>
      </c>
      <c r="I51">
        <v>21</v>
      </c>
      <c r="J51">
        <v>-1438</v>
      </c>
      <c r="K51">
        <v>0</v>
      </c>
      <c r="L51">
        <v>0</v>
      </c>
      <c r="M51">
        <v>0</v>
      </c>
      <c r="N51">
        <v>0</v>
      </c>
      <c r="O51" t="str">
        <f t="shared" si="1"/>
        <v>C</v>
      </c>
      <c r="P51" t="str">
        <f t="shared" si="2"/>
        <v>T</v>
      </c>
      <c r="Q51">
        <f>IF(M51=0,0,VLOOKUP(M51,'aa codes'!$A$1:'aa codes'!$B$21,2))</f>
        <v>0</v>
      </c>
      <c r="R51">
        <f>IF(N51=0,0,VLOOKUP(N51,'aa codes'!$A$1:'aa codes'!$B$21,2))</f>
        <v>0</v>
      </c>
      <c r="S51" s="1">
        <v>5.6179775300000002E-3</v>
      </c>
      <c r="T51" s="1">
        <v>0</v>
      </c>
    </row>
    <row r="52" spans="1:20">
      <c r="A52">
        <v>9</v>
      </c>
      <c r="B52">
        <v>135774444</v>
      </c>
      <c r="C52" t="str">
        <f t="shared" si="0"/>
        <v>9:135774444</v>
      </c>
      <c r="D52">
        <v>2</v>
      </c>
      <c r="E52" s="1">
        <v>5.81395349E-3</v>
      </c>
      <c r="F52">
        <v>3</v>
      </c>
      <c r="G52">
        <v>1</v>
      </c>
      <c r="H52" s="4">
        <v>0</v>
      </c>
      <c r="I52">
        <v>21</v>
      </c>
      <c r="J52">
        <v>-1447</v>
      </c>
      <c r="K52">
        <v>0</v>
      </c>
      <c r="L52">
        <v>0</v>
      </c>
      <c r="M52">
        <v>0</v>
      </c>
      <c r="N52">
        <v>0</v>
      </c>
      <c r="O52" t="str">
        <f t="shared" si="1"/>
        <v>G</v>
      </c>
      <c r="P52" t="str">
        <f t="shared" si="2"/>
        <v>C</v>
      </c>
      <c r="Q52">
        <f>IF(M52=0,0,VLOOKUP(M52,'aa codes'!$A$1:'aa codes'!$B$21,2))</f>
        <v>0</v>
      </c>
      <c r="R52">
        <f>IF(N52=0,0,VLOOKUP(N52,'aa codes'!$A$1:'aa codes'!$B$21,2))</f>
        <v>0</v>
      </c>
      <c r="S52" s="1">
        <v>5.81395349E-3</v>
      </c>
      <c r="T52" s="1">
        <v>0</v>
      </c>
    </row>
    <row r="53" spans="1:20">
      <c r="A53">
        <v>9</v>
      </c>
      <c r="B53">
        <v>135774487</v>
      </c>
      <c r="C53" t="str">
        <f t="shared" si="0"/>
        <v>9:135774487</v>
      </c>
      <c r="D53">
        <v>2</v>
      </c>
      <c r="E53" s="1">
        <v>5.7971014499999998E-3</v>
      </c>
      <c r="F53">
        <v>1</v>
      </c>
      <c r="G53">
        <v>1</v>
      </c>
      <c r="H53" s="4">
        <v>0</v>
      </c>
      <c r="I53">
        <v>21</v>
      </c>
      <c r="J53">
        <v>-1490</v>
      </c>
      <c r="K53">
        <v>0</v>
      </c>
      <c r="L53">
        <v>0</v>
      </c>
      <c r="M53">
        <v>0</v>
      </c>
      <c r="N53">
        <v>0</v>
      </c>
      <c r="O53" t="str">
        <f t="shared" si="1"/>
        <v>G</v>
      </c>
      <c r="P53" t="str">
        <f t="shared" si="2"/>
        <v>A</v>
      </c>
      <c r="Q53">
        <f>IF(M53=0,0,VLOOKUP(M53,'aa codes'!$A$1:'aa codes'!$B$21,2))</f>
        <v>0</v>
      </c>
      <c r="R53">
        <f>IF(N53=0,0,VLOOKUP(N53,'aa codes'!$A$1:'aa codes'!$B$21,2))</f>
        <v>0</v>
      </c>
      <c r="S53" s="1">
        <v>5.7971014499999998E-3</v>
      </c>
      <c r="T53" s="1">
        <v>0</v>
      </c>
    </row>
    <row r="54" spans="1:20">
      <c r="A54">
        <v>9</v>
      </c>
      <c r="B54">
        <v>135775203</v>
      </c>
      <c r="C54" t="str">
        <f t="shared" si="0"/>
        <v>9:135775203</v>
      </c>
      <c r="D54">
        <v>3</v>
      </c>
      <c r="E54" s="1">
        <v>0.49044586000000001</v>
      </c>
      <c r="F54">
        <v>1</v>
      </c>
      <c r="G54">
        <v>2</v>
      </c>
      <c r="H54" s="4">
        <v>0.61140000000000005</v>
      </c>
      <c r="I54">
        <v>20</v>
      </c>
      <c r="J54">
        <v>899</v>
      </c>
      <c r="K54">
        <v>0</v>
      </c>
      <c r="L54">
        <v>0</v>
      </c>
      <c r="M54">
        <v>0</v>
      </c>
      <c r="N54">
        <v>0</v>
      </c>
      <c r="O54" t="str">
        <f t="shared" si="1"/>
        <v>C</v>
      </c>
      <c r="P54" t="str">
        <f t="shared" si="2"/>
        <v>A</v>
      </c>
      <c r="Q54">
        <f>IF(M54=0,0,VLOOKUP(M54,'aa codes'!$A$1:'aa codes'!$B$21,2))</f>
        <v>0</v>
      </c>
      <c r="R54">
        <f>IF(N54=0,0,VLOOKUP(N54,'aa codes'!$A$1:'aa codes'!$B$21,2))</f>
        <v>0</v>
      </c>
      <c r="S54" s="1">
        <v>0.473731077</v>
      </c>
      <c r="T54" s="1">
        <v>0.49044586000000001</v>
      </c>
    </row>
    <row r="55" spans="1:20">
      <c r="A55">
        <v>9</v>
      </c>
      <c r="B55">
        <v>135775717</v>
      </c>
      <c r="C55" t="str">
        <f t="shared" si="0"/>
        <v>9:135775717</v>
      </c>
      <c r="D55">
        <v>2</v>
      </c>
      <c r="E55" s="1">
        <v>8.4985835700000009E-3</v>
      </c>
      <c r="F55">
        <v>1</v>
      </c>
      <c r="G55">
        <v>2</v>
      </c>
      <c r="H55" s="4">
        <v>0</v>
      </c>
      <c r="I55">
        <v>20</v>
      </c>
      <c r="J55">
        <v>385</v>
      </c>
      <c r="K55">
        <v>0</v>
      </c>
      <c r="L55">
        <v>0</v>
      </c>
      <c r="M55">
        <v>0</v>
      </c>
      <c r="N55">
        <v>0</v>
      </c>
      <c r="O55" t="str">
        <f t="shared" si="1"/>
        <v>G</v>
      </c>
      <c r="P55" t="str">
        <f t="shared" si="2"/>
        <v>A</v>
      </c>
      <c r="Q55">
        <f>IF(M55=0,0,VLOOKUP(M55,'aa codes'!$A$1:'aa codes'!$B$21,2))</f>
        <v>0</v>
      </c>
      <c r="R55">
        <f>IF(N55=0,0,VLOOKUP(N55,'aa codes'!$A$1:'aa codes'!$B$21,2))</f>
        <v>0</v>
      </c>
      <c r="S55" s="1">
        <v>8.4985835700000009E-3</v>
      </c>
      <c r="T55" s="1">
        <v>5.07614213E-3</v>
      </c>
    </row>
    <row r="56" spans="1:20">
      <c r="A56">
        <v>9</v>
      </c>
      <c r="B56">
        <v>135775719</v>
      </c>
      <c r="C56" t="str">
        <f t="shared" si="0"/>
        <v>9:135775719</v>
      </c>
      <c r="D56">
        <v>1</v>
      </c>
      <c r="E56" s="1">
        <v>1.21293801E-2</v>
      </c>
      <c r="F56">
        <v>2</v>
      </c>
      <c r="G56">
        <v>2</v>
      </c>
      <c r="H56" s="4">
        <v>0</v>
      </c>
      <c r="I56">
        <v>20</v>
      </c>
      <c r="J56">
        <v>383</v>
      </c>
      <c r="K56">
        <v>0</v>
      </c>
      <c r="L56">
        <v>0</v>
      </c>
      <c r="M56">
        <v>0</v>
      </c>
      <c r="N56">
        <v>0</v>
      </c>
      <c r="O56" t="str">
        <f t="shared" si="1"/>
        <v>A</v>
      </c>
      <c r="P56" t="str">
        <f t="shared" si="2"/>
        <v>G</v>
      </c>
      <c r="Q56">
        <f>IF(M56=0,0,VLOOKUP(M56,'aa codes'!$A$1:'aa codes'!$B$21,2))</f>
        <v>0</v>
      </c>
      <c r="R56">
        <f>IF(N56=0,0,VLOOKUP(N56,'aa codes'!$A$1:'aa codes'!$B$21,2))</f>
        <v>0</v>
      </c>
      <c r="S56" s="1">
        <v>1.1928429399999999E-2</v>
      </c>
      <c r="T56" s="1">
        <v>1.21293801E-2</v>
      </c>
    </row>
    <row r="57" spans="1:20">
      <c r="A57">
        <v>9</v>
      </c>
      <c r="B57">
        <v>135776034</v>
      </c>
      <c r="C57" t="str">
        <f t="shared" si="0"/>
        <v>9:135776034</v>
      </c>
      <c r="D57">
        <v>3</v>
      </c>
      <c r="E57" s="1">
        <v>0.50698323999999995</v>
      </c>
      <c r="F57">
        <v>4</v>
      </c>
      <c r="G57">
        <v>2</v>
      </c>
      <c r="H57" s="4">
        <v>0.38940000000000002</v>
      </c>
      <c r="I57">
        <v>20</v>
      </c>
      <c r="J57">
        <v>68</v>
      </c>
      <c r="K57">
        <v>0</v>
      </c>
      <c r="L57">
        <v>0</v>
      </c>
      <c r="M57">
        <v>0</v>
      </c>
      <c r="N57">
        <v>0</v>
      </c>
      <c r="O57" t="str">
        <f t="shared" si="1"/>
        <v>C</v>
      </c>
      <c r="P57" t="str">
        <f t="shared" si="2"/>
        <v>T</v>
      </c>
      <c r="Q57">
        <f>IF(M57=0,0,VLOOKUP(M57,'aa codes'!$A$1:'aa codes'!$B$21,2))</f>
        <v>0</v>
      </c>
      <c r="R57">
        <f>IF(N57=0,0,VLOOKUP(N57,'aa codes'!$A$1:'aa codes'!$B$21,2))</f>
        <v>0</v>
      </c>
      <c r="S57" s="1">
        <v>0.47573656800000003</v>
      </c>
      <c r="T57" s="1">
        <v>0.50698323999999995</v>
      </c>
    </row>
    <row r="58" spans="1:20">
      <c r="A58">
        <v>9</v>
      </c>
      <c r="B58">
        <v>135776107</v>
      </c>
      <c r="C58" t="str">
        <f t="shared" si="0"/>
        <v>9:135776107</v>
      </c>
      <c r="D58">
        <v>4</v>
      </c>
      <c r="E58" s="1">
        <v>5.6818181800000001E-3</v>
      </c>
      <c r="F58">
        <v>1</v>
      </c>
      <c r="G58">
        <v>1</v>
      </c>
      <c r="H58" s="4">
        <v>0</v>
      </c>
      <c r="I58">
        <v>20</v>
      </c>
      <c r="J58">
        <v>0</v>
      </c>
      <c r="K58">
        <v>2620</v>
      </c>
      <c r="L58">
        <v>874</v>
      </c>
      <c r="M58">
        <v>116</v>
      </c>
      <c r="N58">
        <v>117</v>
      </c>
      <c r="O58" t="str">
        <f t="shared" si="1"/>
        <v>T</v>
      </c>
      <c r="P58" t="str">
        <f t="shared" si="2"/>
        <v>A</v>
      </c>
      <c r="Q58" t="str">
        <f>IF(M58=0,0,VLOOKUP(M58,'aa codes'!$A$1:'aa codes'!$B$21,2))</f>
        <v>S</v>
      </c>
      <c r="R58" t="str">
        <f>IF(N58=0,0,VLOOKUP(N58,'aa codes'!$A$1:'aa codes'!$B$21,2))</f>
        <v>T</v>
      </c>
      <c r="S58" s="1">
        <v>0</v>
      </c>
      <c r="T58" s="1">
        <v>5.6818181800000001E-3</v>
      </c>
    </row>
    <row r="59" spans="1:20">
      <c r="A59">
        <v>9</v>
      </c>
      <c r="B59">
        <v>135777368</v>
      </c>
      <c r="C59" t="str">
        <f t="shared" si="0"/>
        <v>9:135777368</v>
      </c>
      <c r="D59">
        <v>1</v>
      </c>
      <c r="E59" s="1">
        <v>9.1533180800000002E-3</v>
      </c>
      <c r="F59">
        <v>4</v>
      </c>
      <c r="G59">
        <v>1</v>
      </c>
      <c r="H59" s="4">
        <v>0</v>
      </c>
      <c r="I59">
        <v>19</v>
      </c>
      <c r="J59">
        <v>-282</v>
      </c>
      <c r="K59">
        <v>0</v>
      </c>
      <c r="L59">
        <v>0</v>
      </c>
      <c r="M59">
        <v>0</v>
      </c>
      <c r="N59">
        <v>0</v>
      </c>
      <c r="O59" t="str">
        <f t="shared" si="1"/>
        <v>A</v>
      </c>
      <c r="P59" t="str">
        <f t="shared" si="2"/>
        <v>T</v>
      </c>
      <c r="Q59">
        <f>IF(M59=0,0,VLOOKUP(M59,'aa codes'!$A$1:'aa codes'!$B$21,2))</f>
        <v>0</v>
      </c>
      <c r="R59">
        <f>IF(N59=0,0,VLOOKUP(N59,'aa codes'!$A$1:'aa codes'!$B$21,2))</f>
        <v>0</v>
      </c>
      <c r="S59" s="1">
        <v>0</v>
      </c>
      <c r="T59" s="1">
        <v>9.1533180800000002E-3</v>
      </c>
    </row>
    <row r="60" spans="1:20">
      <c r="A60">
        <v>9</v>
      </c>
      <c r="B60">
        <v>135777437</v>
      </c>
      <c r="C60" t="str">
        <f t="shared" si="0"/>
        <v>9:135777437</v>
      </c>
      <c r="D60">
        <v>4</v>
      </c>
      <c r="E60" s="1">
        <v>7.8947368399999995E-3</v>
      </c>
      <c r="F60">
        <v>1</v>
      </c>
      <c r="G60">
        <v>1</v>
      </c>
      <c r="H60" s="4">
        <v>0</v>
      </c>
      <c r="I60">
        <v>19</v>
      </c>
      <c r="J60">
        <v>-351</v>
      </c>
      <c r="K60">
        <v>0</v>
      </c>
      <c r="L60">
        <v>0</v>
      </c>
      <c r="M60">
        <v>0</v>
      </c>
      <c r="N60">
        <v>0</v>
      </c>
      <c r="O60" t="str">
        <f t="shared" si="1"/>
        <v>T</v>
      </c>
      <c r="P60" t="str">
        <f t="shared" si="2"/>
        <v>A</v>
      </c>
      <c r="Q60">
        <f>IF(M60=0,0,VLOOKUP(M60,'aa codes'!$A$1:'aa codes'!$B$21,2))</f>
        <v>0</v>
      </c>
      <c r="R60">
        <f>IF(N60=0,0,VLOOKUP(N60,'aa codes'!$A$1:'aa codes'!$B$21,2))</f>
        <v>0</v>
      </c>
      <c r="S60" s="1">
        <v>0</v>
      </c>
      <c r="T60" s="1">
        <v>7.8947368399999995E-3</v>
      </c>
    </row>
    <row r="61" spans="1:20">
      <c r="A61">
        <v>9</v>
      </c>
      <c r="B61">
        <v>135777439</v>
      </c>
      <c r="C61" t="str">
        <f t="shared" si="0"/>
        <v>9:135777439</v>
      </c>
      <c r="D61">
        <v>2</v>
      </c>
      <c r="E61" s="1">
        <v>5.1282051299999997E-3</v>
      </c>
      <c r="F61">
        <v>1</v>
      </c>
      <c r="G61">
        <v>1</v>
      </c>
      <c r="H61" s="4">
        <v>0</v>
      </c>
      <c r="I61">
        <v>19</v>
      </c>
      <c r="J61">
        <v>-353</v>
      </c>
      <c r="K61">
        <v>0</v>
      </c>
      <c r="L61">
        <v>0</v>
      </c>
      <c r="M61">
        <v>0</v>
      </c>
      <c r="N61">
        <v>0</v>
      </c>
      <c r="O61" t="str">
        <f t="shared" si="1"/>
        <v>G</v>
      </c>
      <c r="P61" t="str">
        <f t="shared" si="2"/>
        <v>A</v>
      </c>
      <c r="Q61">
        <f>IF(M61=0,0,VLOOKUP(M61,'aa codes'!$A$1:'aa codes'!$B$21,2))</f>
        <v>0</v>
      </c>
      <c r="R61">
        <f>IF(N61=0,0,VLOOKUP(N61,'aa codes'!$A$1:'aa codes'!$B$21,2))</f>
        <v>0</v>
      </c>
      <c r="S61" s="1">
        <v>0</v>
      </c>
      <c r="T61" s="1">
        <v>5.1282051299999997E-3</v>
      </c>
    </row>
    <row r="62" spans="1:20">
      <c r="A62">
        <v>9</v>
      </c>
      <c r="B62">
        <v>135777449</v>
      </c>
      <c r="C62" t="str">
        <f t="shared" si="0"/>
        <v>9:135777449</v>
      </c>
      <c r="D62">
        <v>4</v>
      </c>
      <c r="E62" s="1">
        <v>5.0125313300000002E-3</v>
      </c>
      <c r="F62">
        <v>1</v>
      </c>
      <c r="G62">
        <v>1</v>
      </c>
      <c r="H62" s="4">
        <v>0</v>
      </c>
      <c r="I62">
        <v>19</v>
      </c>
      <c r="J62">
        <v>-363</v>
      </c>
      <c r="K62">
        <v>0</v>
      </c>
      <c r="L62">
        <v>0</v>
      </c>
      <c r="M62">
        <v>0</v>
      </c>
      <c r="N62">
        <v>0</v>
      </c>
      <c r="O62" t="str">
        <f t="shared" si="1"/>
        <v>T</v>
      </c>
      <c r="P62" t="str">
        <f t="shared" si="2"/>
        <v>A</v>
      </c>
      <c r="Q62">
        <f>IF(M62=0,0,VLOOKUP(M62,'aa codes'!$A$1:'aa codes'!$B$21,2))</f>
        <v>0</v>
      </c>
      <c r="R62">
        <f>IF(N62=0,0,VLOOKUP(N62,'aa codes'!$A$1:'aa codes'!$B$21,2))</f>
        <v>0</v>
      </c>
      <c r="S62" s="1">
        <v>8.9285714300000002E-4</v>
      </c>
      <c r="T62" s="1">
        <v>5.0125313300000002E-3</v>
      </c>
    </row>
    <row r="63" spans="1:20">
      <c r="A63">
        <v>9</v>
      </c>
      <c r="B63">
        <v>135777462</v>
      </c>
      <c r="C63" t="str">
        <f t="shared" si="0"/>
        <v>9:135777462</v>
      </c>
      <c r="D63">
        <v>2</v>
      </c>
      <c r="E63" s="1">
        <v>6.9124423999999997E-3</v>
      </c>
      <c r="F63">
        <v>1</v>
      </c>
      <c r="G63">
        <v>1</v>
      </c>
      <c r="H63" s="4">
        <v>0</v>
      </c>
      <c r="I63">
        <v>19</v>
      </c>
      <c r="J63">
        <v>-376</v>
      </c>
      <c r="K63">
        <v>0</v>
      </c>
      <c r="L63">
        <v>0</v>
      </c>
      <c r="M63">
        <v>0</v>
      </c>
      <c r="N63">
        <v>0</v>
      </c>
      <c r="O63" t="str">
        <f t="shared" si="1"/>
        <v>G</v>
      </c>
      <c r="P63" t="str">
        <f t="shared" si="2"/>
        <v>A</v>
      </c>
      <c r="Q63">
        <f>IF(M63=0,0,VLOOKUP(M63,'aa codes'!$A$1:'aa codes'!$B$21,2))</f>
        <v>0</v>
      </c>
      <c r="R63">
        <f>IF(N63=0,0,VLOOKUP(N63,'aa codes'!$A$1:'aa codes'!$B$21,2))</f>
        <v>0</v>
      </c>
      <c r="S63" s="1">
        <v>9.0415913199999999E-4</v>
      </c>
      <c r="T63" s="1">
        <v>6.9124423999999997E-3</v>
      </c>
    </row>
    <row r="64" spans="1:20">
      <c r="A64">
        <v>9</v>
      </c>
      <c r="B64">
        <v>135779172</v>
      </c>
      <c r="C64" t="str">
        <f t="shared" si="0"/>
        <v>9:135779172</v>
      </c>
      <c r="D64">
        <v>2</v>
      </c>
      <c r="E64" s="1">
        <v>0.50149700600000002</v>
      </c>
      <c r="F64">
        <v>1</v>
      </c>
      <c r="G64">
        <v>1</v>
      </c>
      <c r="H64" s="4">
        <v>0</v>
      </c>
      <c r="I64">
        <v>17</v>
      </c>
      <c r="J64">
        <v>0</v>
      </c>
      <c r="K64">
        <v>2074</v>
      </c>
      <c r="L64">
        <v>692</v>
      </c>
      <c r="M64">
        <v>106</v>
      </c>
      <c r="N64">
        <v>115</v>
      </c>
      <c r="O64" t="str">
        <f t="shared" si="1"/>
        <v>G</v>
      </c>
      <c r="P64" t="str">
        <f t="shared" si="2"/>
        <v>A</v>
      </c>
      <c r="Q64" t="str">
        <f>IF(M64=0,0,VLOOKUP(M64,'aa codes'!$A$1:'aa codes'!$B$21,2))</f>
        <v>G</v>
      </c>
      <c r="R64" t="str">
        <f>IF(N64=0,0,VLOOKUP(N64,'aa codes'!$A$1:'aa codes'!$B$21,2))</f>
        <v>R</v>
      </c>
      <c r="S64" s="1">
        <v>9.6432015399999999E-4</v>
      </c>
      <c r="T64" s="1">
        <v>0.50149700600000002</v>
      </c>
    </row>
    <row r="65" spans="1:20">
      <c r="A65">
        <v>9</v>
      </c>
      <c r="B65">
        <v>135780288</v>
      </c>
      <c r="C65" t="str">
        <f t="shared" si="0"/>
        <v>9:135780288</v>
      </c>
      <c r="D65">
        <v>1</v>
      </c>
      <c r="E65" s="1">
        <v>1</v>
      </c>
      <c r="F65">
        <v>2</v>
      </c>
      <c r="G65">
        <v>2</v>
      </c>
      <c r="H65" s="4">
        <v>0.9728</v>
      </c>
      <c r="I65">
        <v>16</v>
      </c>
      <c r="J65">
        <v>-447</v>
      </c>
      <c r="K65">
        <v>0</v>
      </c>
      <c r="L65">
        <v>0</v>
      </c>
      <c r="M65">
        <v>0</v>
      </c>
      <c r="N65">
        <v>0</v>
      </c>
      <c r="O65" t="str">
        <f t="shared" si="1"/>
        <v>A</v>
      </c>
      <c r="P65" t="str">
        <f t="shared" si="2"/>
        <v>G</v>
      </c>
      <c r="Q65">
        <f>IF(M65=0,0,VLOOKUP(M65,'aa codes'!$A$1:'aa codes'!$B$21,2))</f>
        <v>0</v>
      </c>
      <c r="R65">
        <f>IF(N65=0,0,VLOOKUP(N65,'aa codes'!$A$1:'aa codes'!$B$21,2))</f>
        <v>0</v>
      </c>
      <c r="S65" s="1">
        <v>0.998041136</v>
      </c>
      <c r="T65" s="1">
        <v>1</v>
      </c>
    </row>
    <row r="66" spans="1:20">
      <c r="A66">
        <v>9</v>
      </c>
      <c r="B66">
        <v>135781134</v>
      </c>
      <c r="C66" t="str">
        <f t="shared" si="0"/>
        <v>9:135781134</v>
      </c>
      <c r="D66">
        <v>3</v>
      </c>
      <c r="E66" s="1">
        <v>5.2424639599999998E-3</v>
      </c>
      <c r="F66">
        <v>4</v>
      </c>
      <c r="G66">
        <v>1</v>
      </c>
      <c r="H66" s="4">
        <v>0</v>
      </c>
      <c r="I66">
        <v>15</v>
      </c>
      <c r="J66">
        <v>0</v>
      </c>
      <c r="K66">
        <v>1831</v>
      </c>
      <c r="L66">
        <v>611</v>
      </c>
      <c r="M66">
        <v>113</v>
      </c>
      <c r="N66">
        <v>116</v>
      </c>
      <c r="O66" t="str">
        <f t="shared" si="1"/>
        <v>C</v>
      </c>
      <c r="P66" t="str">
        <f t="shared" si="2"/>
        <v>T</v>
      </c>
      <c r="Q66" t="str">
        <f>IF(M66=0,0,VLOOKUP(M66,'aa codes'!$A$1:'aa codes'!$B$21,2))</f>
        <v>P</v>
      </c>
      <c r="R66" t="str">
        <f>IF(N66=0,0,VLOOKUP(N66,'aa codes'!$A$1:'aa codes'!$B$21,2))</f>
        <v>S</v>
      </c>
      <c r="S66" s="1">
        <v>1.9138756E-3</v>
      </c>
      <c r="T66" s="1">
        <v>5.2424639599999998E-3</v>
      </c>
    </row>
    <row r="67" spans="1:20">
      <c r="A67">
        <v>9</v>
      </c>
      <c r="B67">
        <v>135781769</v>
      </c>
      <c r="C67" t="str">
        <f t="shared" ref="C67:C130" si="3">A67&amp;":"&amp;B67</f>
        <v>9:135781769</v>
      </c>
      <c r="D67">
        <v>3</v>
      </c>
      <c r="E67" s="1">
        <v>8.4269662900000007E-3</v>
      </c>
      <c r="F67">
        <v>1</v>
      </c>
      <c r="G67">
        <v>1</v>
      </c>
      <c r="H67" s="4">
        <v>0</v>
      </c>
      <c r="I67">
        <v>15</v>
      </c>
      <c r="J67">
        <v>-243</v>
      </c>
      <c r="K67">
        <v>0</v>
      </c>
      <c r="L67">
        <v>0</v>
      </c>
      <c r="M67">
        <v>0</v>
      </c>
      <c r="N67">
        <v>0</v>
      </c>
      <c r="O67" t="str">
        <f t="shared" ref="O67:O130" si="4">IF(D67=1,"A",IF(D67=2,"G",IF(D67=3,"C",IF(D67=4,"T","2NT"))))</f>
        <v>C</v>
      </c>
      <c r="P67" t="str">
        <f t="shared" ref="P67:P130" si="5">IF(F67=1,"A",IF(F67=2,"G",IF(F67=3,"C",IF(F67=4,"T","2NT"))))</f>
        <v>A</v>
      </c>
      <c r="Q67">
        <f>IF(M67=0,0,VLOOKUP(M67,'aa codes'!$A$1:'aa codes'!$B$21,2))</f>
        <v>0</v>
      </c>
      <c r="R67">
        <f>IF(N67=0,0,VLOOKUP(N67,'aa codes'!$A$1:'aa codes'!$B$21,2))</f>
        <v>0</v>
      </c>
      <c r="S67" s="1">
        <v>2.1834061100000001E-3</v>
      </c>
      <c r="T67" s="1">
        <v>8.4269662900000007E-3</v>
      </c>
    </row>
    <row r="68" spans="1:20">
      <c r="A68">
        <v>9</v>
      </c>
      <c r="B68">
        <v>135781776</v>
      </c>
      <c r="C68" t="str">
        <f t="shared" si="3"/>
        <v>9:135781776</v>
      </c>
      <c r="D68">
        <v>4</v>
      </c>
      <c r="E68" s="1">
        <v>8.4269662900000007E-3</v>
      </c>
      <c r="F68">
        <v>1</v>
      </c>
      <c r="G68">
        <v>1</v>
      </c>
      <c r="H68" s="4">
        <v>0</v>
      </c>
      <c r="I68">
        <v>15</v>
      </c>
      <c r="J68">
        <v>-250</v>
      </c>
      <c r="K68">
        <v>0</v>
      </c>
      <c r="L68">
        <v>0</v>
      </c>
      <c r="M68">
        <v>0</v>
      </c>
      <c r="N68">
        <v>0</v>
      </c>
      <c r="O68" t="str">
        <f t="shared" si="4"/>
        <v>T</v>
      </c>
      <c r="P68" t="str">
        <f t="shared" si="5"/>
        <v>A</v>
      </c>
      <c r="Q68">
        <f>IF(M68=0,0,VLOOKUP(M68,'aa codes'!$A$1:'aa codes'!$B$21,2))</f>
        <v>0</v>
      </c>
      <c r="R68">
        <f>IF(N68=0,0,VLOOKUP(N68,'aa codes'!$A$1:'aa codes'!$B$21,2))</f>
        <v>0</v>
      </c>
      <c r="S68" s="1">
        <v>2.1834061100000001E-3</v>
      </c>
      <c r="T68" s="1">
        <v>8.4269662900000007E-3</v>
      </c>
    </row>
    <row r="69" spans="1:20">
      <c r="A69">
        <v>9</v>
      </c>
      <c r="B69">
        <v>135781778</v>
      </c>
      <c r="C69" t="str">
        <f t="shared" si="3"/>
        <v>9:135781778</v>
      </c>
      <c r="D69">
        <v>3</v>
      </c>
      <c r="E69" s="1">
        <v>8.1967213100000002E-3</v>
      </c>
      <c r="F69">
        <v>1</v>
      </c>
      <c r="G69">
        <v>1</v>
      </c>
      <c r="H69" s="4">
        <v>0</v>
      </c>
      <c r="I69">
        <v>15</v>
      </c>
      <c r="J69">
        <v>-252</v>
      </c>
      <c r="K69">
        <v>0</v>
      </c>
      <c r="L69">
        <v>0</v>
      </c>
      <c r="M69">
        <v>0</v>
      </c>
      <c r="N69">
        <v>0</v>
      </c>
      <c r="O69" t="str">
        <f t="shared" si="4"/>
        <v>C</v>
      </c>
      <c r="P69" t="str">
        <f t="shared" si="5"/>
        <v>A</v>
      </c>
      <c r="Q69">
        <f>IF(M69=0,0,VLOOKUP(M69,'aa codes'!$A$1:'aa codes'!$B$21,2))</f>
        <v>0</v>
      </c>
      <c r="R69">
        <f>IF(N69=0,0,VLOOKUP(N69,'aa codes'!$A$1:'aa codes'!$B$21,2))</f>
        <v>0</v>
      </c>
      <c r="S69" s="1">
        <v>2.1834061100000001E-3</v>
      </c>
      <c r="T69" s="1">
        <v>8.1967213100000002E-3</v>
      </c>
    </row>
    <row r="70" spans="1:20">
      <c r="A70">
        <v>9</v>
      </c>
      <c r="B70">
        <v>135781781</v>
      </c>
      <c r="C70" t="str">
        <f t="shared" si="3"/>
        <v>9:135781781</v>
      </c>
      <c r="D70">
        <v>4</v>
      </c>
      <c r="E70" s="1">
        <v>8.4269662900000007E-3</v>
      </c>
      <c r="F70">
        <v>1</v>
      </c>
      <c r="G70">
        <v>1</v>
      </c>
      <c r="H70" s="4">
        <v>0</v>
      </c>
      <c r="I70">
        <v>15</v>
      </c>
      <c r="J70">
        <v>-255</v>
      </c>
      <c r="K70">
        <v>0</v>
      </c>
      <c r="L70">
        <v>0</v>
      </c>
      <c r="M70">
        <v>0</v>
      </c>
      <c r="N70">
        <v>0</v>
      </c>
      <c r="O70" t="str">
        <f t="shared" si="4"/>
        <v>T</v>
      </c>
      <c r="P70" t="str">
        <f t="shared" si="5"/>
        <v>A</v>
      </c>
      <c r="Q70">
        <f>IF(M70=0,0,VLOOKUP(M70,'aa codes'!$A$1:'aa codes'!$B$21,2))</f>
        <v>0</v>
      </c>
      <c r="R70">
        <f>IF(N70=0,0,VLOOKUP(N70,'aa codes'!$A$1:'aa codes'!$B$21,2))</f>
        <v>0</v>
      </c>
      <c r="S70" s="1">
        <v>2.2123893800000002E-3</v>
      </c>
      <c r="T70" s="1">
        <v>8.4269662900000007E-3</v>
      </c>
    </row>
    <row r="71" spans="1:20">
      <c r="A71">
        <v>9</v>
      </c>
      <c r="B71">
        <v>135781806</v>
      </c>
      <c r="C71" t="str">
        <f t="shared" si="3"/>
        <v>9:135781806</v>
      </c>
      <c r="D71">
        <v>4</v>
      </c>
      <c r="E71" s="1">
        <v>6.2695924799999999E-3</v>
      </c>
      <c r="F71">
        <v>3</v>
      </c>
      <c r="G71">
        <v>1</v>
      </c>
      <c r="H71" s="4">
        <v>0</v>
      </c>
      <c r="I71">
        <v>15</v>
      </c>
      <c r="J71">
        <v>-280</v>
      </c>
      <c r="K71">
        <v>0</v>
      </c>
      <c r="L71">
        <v>0</v>
      </c>
      <c r="M71">
        <v>0</v>
      </c>
      <c r="N71">
        <v>0</v>
      </c>
      <c r="O71" t="str">
        <f t="shared" si="4"/>
        <v>T</v>
      </c>
      <c r="P71" t="str">
        <f t="shared" si="5"/>
        <v>C</v>
      </c>
      <c r="Q71">
        <f>IF(M71=0,0,VLOOKUP(M71,'aa codes'!$A$1:'aa codes'!$B$21,2))</f>
        <v>0</v>
      </c>
      <c r="R71">
        <f>IF(N71=0,0,VLOOKUP(N71,'aa codes'!$A$1:'aa codes'!$B$21,2))</f>
        <v>0</v>
      </c>
      <c r="S71" s="1">
        <v>0</v>
      </c>
      <c r="T71" s="1">
        <v>6.2695924799999999E-3</v>
      </c>
    </row>
    <row r="72" spans="1:20">
      <c r="A72">
        <v>9</v>
      </c>
      <c r="B72">
        <v>135781808</v>
      </c>
      <c r="C72" t="str">
        <f t="shared" si="3"/>
        <v>9:135781808</v>
      </c>
      <c r="D72">
        <v>4</v>
      </c>
      <c r="E72" s="1">
        <v>6.2893081799999997E-3</v>
      </c>
      <c r="F72">
        <v>3</v>
      </c>
      <c r="G72">
        <v>1</v>
      </c>
      <c r="H72" s="4">
        <v>0</v>
      </c>
      <c r="I72">
        <v>15</v>
      </c>
      <c r="J72">
        <v>-282</v>
      </c>
      <c r="K72">
        <v>0</v>
      </c>
      <c r="L72">
        <v>0</v>
      </c>
      <c r="M72">
        <v>0</v>
      </c>
      <c r="N72">
        <v>0</v>
      </c>
      <c r="O72" t="str">
        <f t="shared" si="4"/>
        <v>T</v>
      </c>
      <c r="P72" t="str">
        <f t="shared" si="5"/>
        <v>C</v>
      </c>
      <c r="Q72">
        <f>IF(M72=0,0,VLOOKUP(M72,'aa codes'!$A$1:'aa codes'!$B$21,2))</f>
        <v>0</v>
      </c>
      <c r="R72">
        <f>IF(N72=0,0,VLOOKUP(N72,'aa codes'!$A$1:'aa codes'!$B$21,2))</f>
        <v>0</v>
      </c>
      <c r="S72" s="1">
        <v>0</v>
      </c>
      <c r="T72" s="1">
        <v>6.2893081799999997E-3</v>
      </c>
    </row>
    <row r="73" spans="1:20">
      <c r="A73">
        <v>9</v>
      </c>
      <c r="B73">
        <v>135781816</v>
      </c>
      <c r="C73" t="str">
        <f t="shared" si="3"/>
        <v>9:135781816</v>
      </c>
      <c r="D73">
        <v>2</v>
      </c>
      <c r="E73" s="1">
        <v>9.0090090099999992E-3</v>
      </c>
      <c r="F73">
        <v>1</v>
      </c>
      <c r="G73">
        <v>1</v>
      </c>
      <c r="H73" s="4">
        <v>0</v>
      </c>
      <c r="I73">
        <v>15</v>
      </c>
      <c r="J73">
        <v>-290</v>
      </c>
      <c r="K73">
        <v>0</v>
      </c>
      <c r="L73">
        <v>0</v>
      </c>
      <c r="M73">
        <v>0</v>
      </c>
      <c r="N73">
        <v>0</v>
      </c>
      <c r="O73" t="str">
        <f t="shared" si="4"/>
        <v>G</v>
      </c>
      <c r="P73" t="str">
        <f t="shared" si="5"/>
        <v>A</v>
      </c>
      <c r="Q73">
        <f>IF(M73=0,0,VLOOKUP(M73,'aa codes'!$A$1:'aa codes'!$B$21,2))</f>
        <v>0</v>
      </c>
      <c r="R73">
        <f>IF(N73=0,0,VLOOKUP(N73,'aa codes'!$A$1:'aa codes'!$B$21,2))</f>
        <v>0</v>
      </c>
      <c r="S73" s="1">
        <v>0</v>
      </c>
      <c r="T73" s="1">
        <v>9.0090090099999992E-3</v>
      </c>
    </row>
    <row r="74" spans="1:20">
      <c r="A74">
        <v>9</v>
      </c>
      <c r="B74">
        <v>135781846</v>
      </c>
      <c r="C74" t="str">
        <f t="shared" si="3"/>
        <v>9:135781846</v>
      </c>
      <c r="D74">
        <v>2</v>
      </c>
      <c r="E74" s="1">
        <v>5.97014925E-3</v>
      </c>
      <c r="F74">
        <v>1</v>
      </c>
      <c r="G74">
        <v>1</v>
      </c>
      <c r="H74" s="4">
        <v>1.6200000000000001E-4</v>
      </c>
      <c r="I74">
        <v>14</v>
      </c>
      <c r="J74">
        <v>272</v>
      </c>
      <c r="K74">
        <v>0</v>
      </c>
      <c r="L74">
        <v>0</v>
      </c>
      <c r="M74">
        <v>0</v>
      </c>
      <c r="N74">
        <v>0</v>
      </c>
      <c r="O74" t="str">
        <f t="shared" si="4"/>
        <v>G</v>
      </c>
      <c r="P74" t="str">
        <f t="shared" si="5"/>
        <v>A</v>
      </c>
      <c r="Q74">
        <f>IF(M74=0,0,VLOOKUP(M74,'aa codes'!$A$1:'aa codes'!$B$21,2))</f>
        <v>0</v>
      </c>
      <c r="R74">
        <f>IF(N74=0,0,VLOOKUP(N74,'aa codes'!$A$1:'aa codes'!$B$21,2))</f>
        <v>0</v>
      </c>
      <c r="S74" s="1">
        <v>0</v>
      </c>
      <c r="T74" s="1">
        <v>5.97014925E-3</v>
      </c>
    </row>
    <row r="75" spans="1:20">
      <c r="A75">
        <v>9</v>
      </c>
      <c r="B75">
        <v>135781886</v>
      </c>
      <c r="C75" t="str">
        <f t="shared" si="3"/>
        <v>9:135781886</v>
      </c>
      <c r="D75">
        <v>4</v>
      </c>
      <c r="E75" s="1">
        <v>6.2695924799999999E-3</v>
      </c>
      <c r="F75">
        <v>1</v>
      </c>
      <c r="G75">
        <v>1</v>
      </c>
      <c r="H75" s="4">
        <v>0</v>
      </c>
      <c r="I75">
        <v>14</v>
      </c>
      <c r="J75">
        <v>232</v>
      </c>
      <c r="K75">
        <v>0</v>
      </c>
      <c r="L75">
        <v>0</v>
      </c>
      <c r="M75">
        <v>0</v>
      </c>
      <c r="N75">
        <v>0</v>
      </c>
      <c r="O75" t="str">
        <f t="shared" si="4"/>
        <v>T</v>
      </c>
      <c r="P75" t="str">
        <f t="shared" si="5"/>
        <v>A</v>
      </c>
      <c r="Q75">
        <f>IF(M75=0,0,VLOOKUP(M75,'aa codes'!$A$1:'aa codes'!$B$21,2))</f>
        <v>0</v>
      </c>
      <c r="R75">
        <f>IF(N75=0,0,VLOOKUP(N75,'aa codes'!$A$1:'aa codes'!$B$21,2))</f>
        <v>0</v>
      </c>
      <c r="S75" s="1">
        <v>4.5045045000000001E-3</v>
      </c>
      <c r="T75" s="1">
        <v>6.2695924799999999E-3</v>
      </c>
    </row>
    <row r="76" spans="1:20">
      <c r="A76">
        <v>9</v>
      </c>
      <c r="B76">
        <v>135781889</v>
      </c>
      <c r="C76" t="str">
        <f t="shared" si="3"/>
        <v>9:135781889</v>
      </c>
      <c r="D76">
        <v>4</v>
      </c>
      <c r="E76" s="1">
        <v>6.2305295999999996E-3</v>
      </c>
      <c r="F76">
        <v>1</v>
      </c>
      <c r="G76">
        <v>1</v>
      </c>
      <c r="H76" s="4">
        <v>0</v>
      </c>
      <c r="I76">
        <v>14</v>
      </c>
      <c r="J76">
        <v>229</v>
      </c>
      <c r="K76">
        <v>0</v>
      </c>
      <c r="L76">
        <v>0</v>
      </c>
      <c r="M76">
        <v>0</v>
      </c>
      <c r="N76">
        <v>0</v>
      </c>
      <c r="O76" t="str">
        <f t="shared" si="4"/>
        <v>T</v>
      </c>
      <c r="P76" t="str">
        <f t="shared" si="5"/>
        <v>A</v>
      </c>
      <c r="Q76">
        <f>IF(M76=0,0,VLOOKUP(M76,'aa codes'!$A$1:'aa codes'!$B$21,2))</f>
        <v>0</v>
      </c>
      <c r="R76">
        <f>IF(N76=0,0,VLOOKUP(N76,'aa codes'!$A$1:'aa codes'!$B$21,2))</f>
        <v>0</v>
      </c>
      <c r="S76" s="1">
        <v>0</v>
      </c>
      <c r="T76" s="1">
        <v>6.2305295999999996E-3</v>
      </c>
    </row>
    <row r="77" spans="1:20">
      <c r="A77">
        <v>9</v>
      </c>
      <c r="B77">
        <v>135781914</v>
      </c>
      <c r="C77" t="str">
        <f t="shared" si="3"/>
        <v>9:135781914</v>
      </c>
      <c r="D77">
        <v>4</v>
      </c>
      <c r="E77" s="1">
        <v>6.2111801199999997E-3</v>
      </c>
      <c r="F77">
        <v>2</v>
      </c>
      <c r="G77">
        <v>1</v>
      </c>
      <c r="H77" s="4">
        <v>0</v>
      </c>
      <c r="I77">
        <v>14</v>
      </c>
      <c r="J77">
        <v>204</v>
      </c>
      <c r="K77">
        <v>0</v>
      </c>
      <c r="L77">
        <v>0</v>
      </c>
      <c r="M77">
        <v>0</v>
      </c>
      <c r="N77">
        <v>0</v>
      </c>
      <c r="O77" t="str">
        <f t="shared" si="4"/>
        <v>T</v>
      </c>
      <c r="P77" t="str">
        <f t="shared" si="5"/>
        <v>G</v>
      </c>
      <c r="Q77">
        <f>IF(M77=0,0,VLOOKUP(M77,'aa codes'!$A$1:'aa codes'!$B$21,2))</f>
        <v>0</v>
      </c>
      <c r="R77">
        <f>IF(N77=0,0,VLOOKUP(N77,'aa codes'!$A$1:'aa codes'!$B$21,2))</f>
        <v>0</v>
      </c>
      <c r="S77" s="1">
        <v>2.3980815299999999E-3</v>
      </c>
      <c r="T77" s="1">
        <v>6.2111801199999997E-3</v>
      </c>
    </row>
    <row r="78" spans="1:20">
      <c r="A78">
        <v>9</v>
      </c>
      <c r="B78">
        <v>135781921</v>
      </c>
      <c r="C78" t="str">
        <f t="shared" si="3"/>
        <v>9:135781921</v>
      </c>
      <c r="D78">
        <v>2</v>
      </c>
      <c r="E78" s="1">
        <v>6.2111801199999997E-3</v>
      </c>
      <c r="F78">
        <v>1</v>
      </c>
      <c r="G78">
        <v>1</v>
      </c>
      <c r="H78" s="4">
        <v>0</v>
      </c>
      <c r="I78">
        <v>14</v>
      </c>
      <c r="J78">
        <v>197</v>
      </c>
      <c r="K78">
        <v>0</v>
      </c>
      <c r="L78">
        <v>0</v>
      </c>
      <c r="M78">
        <v>0</v>
      </c>
      <c r="N78">
        <v>0</v>
      </c>
      <c r="O78" t="str">
        <f t="shared" si="4"/>
        <v>G</v>
      </c>
      <c r="P78" t="str">
        <f t="shared" si="5"/>
        <v>A</v>
      </c>
      <c r="Q78">
        <f>IF(M78=0,0,VLOOKUP(M78,'aa codes'!$A$1:'aa codes'!$B$21,2))</f>
        <v>0</v>
      </c>
      <c r="R78">
        <f>IF(N78=0,0,VLOOKUP(N78,'aa codes'!$A$1:'aa codes'!$B$21,2))</f>
        <v>0</v>
      </c>
      <c r="S78" s="1">
        <v>2.30946882E-3</v>
      </c>
      <c r="T78" s="1">
        <v>6.2111801199999997E-3</v>
      </c>
    </row>
    <row r="79" spans="1:20">
      <c r="A79">
        <v>9</v>
      </c>
      <c r="B79">
        <v>135781934</v>
      </c>
      <c r="C79" t="str">
        <f t="shared" si="3"/>
        <v>9:135781934</v>
      </c>
      <c r="D79">
        <v>4</v>
      </c>
      <c r="E79" s="1">
        <v>8.2417582400000008E-3</v>
      </c>
      <c r="F79">
        <v>13</v>
      </c>
      <c r="G79">
        <v>2</v>
      </c>
      <c r="H79" s="4">
        <v>0</v>
      </c>
      <c r="I79">
        <v>14</v>
      </c>
      <c r="J79">
        <v>184</v>
      </c>
      <c r="K79">
        <v>0</v>
      </c>
      <c r="L79">
        <v>0</v>
      </c>
      <c r="M79">
        <v>0</v>
      </c>
      <c r="N79">
        <v>0</v>
      </c>
      <c r="O79" t="str">
        <f t="shared" si="4"/>
        <v>T</v>
      </c>
      <c r="P79" t="str">
        <f t="shared" si="5"/>
        <v>2NT</v>
      </c>
      <c r="Q79">
        <f>IF(M79=0,0,VLOOKUP(M79,'aa codes'!$A$1:'aa codes'!$B$21,2))</f>
        <v>0</v>
      </c>
      <c r="R79">
        <f>IF(N79=0,0,VLOOKUP(N79,'aa codes'!$A$1:'aa codes'!$B$21,2))</f>
        <v>0</v>
      </c>
      <c r="S79" s="1">
        <v>6.2111801199999997E-3</v>
      </c>
      <c r="T79" s="1">
        <v>8.2417582400000008E-3</v>
      </c>
    </row>
    <row r="80" spans="1:20">
      <c r="A80">
        <v>9</v>
      </c>
      <c r="B80">
        <v>135781935</v>
      </c>
      <c r="C80" t="str">
        <f t="shared" si="3"/>
        <v>9:135781935</v>
      </c>
      <c r="D80">
        <v>3</v>
      </c>
      <c r="E80" s="1">
        <v>1.8232819099999999E-2</v>
      </c>
      <c r="F80">
        <v>1</v>
      </c>
      <c r="G80">
        <v>2</v>
      </c>
      <c r="H80" s="4">
        <v>0</v>
      </c>
      <c r="I80">
        <v>14</v>
      </c>
      <c r="J80">
        <v>183</v>
      </c>
      <c r="K80">
        <v>0</v>
      </c>
      <c r="L80">
        <v>0</v>
      </c>
      <c r="M80">
        <v>0</v>
      </c>
      <c r="N80">
        <v>0</v>
      </c>
      <c r="O80" t="str">
        <f t="shared" si="4"/>
        <v>C</v>
      </c>
      <c r="P80" t="str">
        <f t="shared" si="5"/>
        <v>A</v>
      </c>
      <c r="Q80">
        <f>IF(M80=0,0,VLOOKUP(M80,'aa codes'!$A$1:'aa codes'!$B$21,2))</f>
        <v>0</v>
      </c>
      <c r="R80">
        <f>IF(N80=0,0,VLOOKUP(N80,'aa codes'!$A$1:'aa codes'!$B$21,2))</f>
        <v>0</v>
      </c>
      <c r="S80" s="1">
        <v>1.6632016600000001E-2</v>
      </c>
      <c r="T80" s="1">
        <v>1.8232819099999999E-2</v>
      </c>
    </row>
    <row r="81" spans="1:20">
      <c r="A81">
        <v>9</v>
      </c>
      <c r="B81">
        <v>135781936</v>
      </c>
      <c r="C81" t="str">
        <f t="shared" si="3"/>
        <v>9:135781936</v>
      </c>
      <c r="D81">
        <v>1</v>
      </c>
      <c r="E81" s="1">
        <v>9.9255583100000006E-3</v>
      </c>
      <c r="F81">
        <v>4</v>
      </c>
      <c r="G81">
        <v>2</v>
      </c>
      <c r="H81" s="4">
        <v>0</v>
      </c>
      <c r="I81">
        <v>14</v>
      </c>
      <c r="J81">
        <v>182</v>
      </c>
      <c r="K81">
        <v>0</v>
      </c>
      <c r="L81">
        <v>0</v>
      </c>
      <c r="M81">
        <v>0</v>
      </c>
      <c r="N81">
        <v>0</v>
      </c>
      <c r="O81" t="str">
        <f t="shared" si="4"/>
        <v>A</v>
      </c>
      <c r="P81" t="str">
        <f t="shared" si="5"/>
        <v>T</v>
      </c>
      <c r="Q81">
        <f>IF(M81=0,0,VLOOKUP(M81,'aa codes'!$A$1:'aa codes'!$B$21,2))</f>
        <v>0</v>
      </c>
      <c r="R81">
        <f>IF(N81=0,0,VLOOKUP(N81,'aa codes'!$A$1:'aa codes'!$B$21,2))</f>
        <v>0</v>
      </c>
      <c r="S81" s="1">
        <v>9.9255583100000006E-3</v>
      </c>
      <c r="T81" s="1">
        <v>9.6463022500000006E-3</v>
      </c>
    </row>
    <row r="82" spans="1:20">
      <c r="A82">
        <v>9</v>
      </c>
      <c r="B82">
        <v>135781937</v>
      </c>
      <c r="C82" t="str">
        <f t="shared" si="3"/>
        <v>9:135781937</v>
      </c>
      <c r="D82">
        <v>1</v>
      </c>
      <c r="E82" s="1">
        <v>2.2113022100000001E-2</v>
      </c>
      <c r="F82">
        <v>3</v>
      </c>
      <c r="G82">
        <v>2</v>
      </c>
      <c r="H82" s="4">
        <v>0</v>
      </c>
      <c r="I82">
        <v>14</v>
      </c>
      <c r="J82">
        <v>181</v>
      </c>
      <c r="K82">
        <v>0</v>
      </c>
      <c r="L82">
        <v>0</v>
      </c>
      <c r="M82">
        <v>0</v>
      </c>
      <c r="N82">
        <v>0</v>
      </c>
      <c r="O82" t="str">
        <f t="shared" si="4"/>
        <v>A</v>
      </c>
      <c r="P82" t="str">
        <f t="shared" si="5"/>
        <v>C</v>
      </c>
      <c r="Q82">
        <f>IF(M82=0,0,VLOOKUP(M82,'aa codes'!$A$1:'aa codes'!$B$21,2))</f>
        <v>0</v>
      </c>
      <c r="R82">
        <f>IF(N82=0,0,VLOOKUP(N82,'aa codes'!$A$1:'aa codes'!$B$21,2))</f>
        <v>0</v>
      </c>
      <c r="S82" s="1">
        <v>1.9157088100000001E-2</v>
      </c>
      <c r="T82" s="1">
        <v>2.2113022100000001E-2</v>
      </c>
    </row>
    <row r="83" spans="1:20">
      <c r="A83">
        <v>9</v>
      </c>
      <c r="B83">
        <v>135781938</v>
      </c>
      <c r="C83" t="str">
        <f t="shared" si="3"/>
        <v>9:135781938</v>
      </c>
      <c r="D83">
        <v>1</v>
      </c>
      <c r="E83" s="1">
        <v>6.7114093999999999E-3</v>
      </c>
      <c r="F83">
        <v>3</v>
      </c>
      <c r="G83">
        <v>1</v>
      </c>
      <c r="H83" s="4">
        <v>0</v>
      </c>
      <c r="I83">
        <v>14</v>
      </c>
      <c r="J83">
        <v>180</v>
      </c>
      <c r="K83">
        <v>0</v>
      </c>
      <c r="L83">
        <v>0</v>
      </c>
      <c r="M83">
        <v>0</v>
      </c>
      <c r="N83">
        <v>0</v>
      </c>
      <c r="O83" t="str">
        <f t="shared" si="4"/>
        <v>A</v>
      </c>
      <c r="P83" t="str">
        <f t="shared" si="5"/>
        <v>C</v>
      </c>
      <c r="Q83">
        <f>IF(M83=0,0,VLOOKUP(M83,'aa codes'!$A$1:'aa codes'!$B$21,2))</f>
        <v>0</v>
      </c>
      <c r="R83">
        <f>IF(N83=0,0,VLOOKUP(N83,'aa codes'!$A$1:'aa codes'!$B$21,2))</f>
        <v>0</v>
      </c>
      <c r="S83" s="1">
        <v>0</v>
      </c>
      <c r="T83" s="1">
        <v>6.7114093999999999E-3</v>
      </c>
    </row>
    <row r="84" spans="1:20">
      <c r="A84">
        <v>9</v>
      </c>
      <c r="B84">
        <v>135781955</v>
      </c>
      <c r="C84" t="str">
        <f t="shared" si="3"/>
        <v>9:135781955</v>
      </c>
      <c r="D84">
        <v>2</v>
      </c>
      <c r="E84" s="1">
        <v>2.3809523799999999E-2</v>
      </c>
      <c r="F84">
        <v>1</v>
      </c>
      <c r="G84">
        <v>2</v>
      </c>
      <c r="H84" s="4">
        <v>0</v>
      </c>
      <c r="I84">
        <v>14</v>
      </c>
      <c r="J84">
        <v>163</v>
      </c>
      <c r="K84">
        <v>0</v>
      </c>
      <c r="L84">
        <v>0</v>
      </c>
      <c r="M84">
        <v>0</v>
      </c>
      <c r="N84">
        <v>0</v>
      </c>
      <c r="O84" t="str">
        <f t="shared" si="4"/>
        <v>G</v>
      </c>
      <c r="P84" t="str">
        <f t="shared" si="5"/>
        <v>A</v>
      </c>
      <c r="Q84">
        <f>IF(M84=0,0,VLOOKUP(M84,'aa codes'!$A$1:'aa codes'!$B$21,2))</f>
        <v>0</v>
      </c>
      <c r="R84">
        <f>IF(N84=0,0,VLOOKUP(N84,'aa codes'!$A$1:'aa codes'!$B$21,2))</f>
        <v>0</v>
      </c>
      <c r="S84" s="1">
        <v>2.3809523799999999E-2</v>
      </c>
      <c r="T84" s="1">
        <v>1.0752688200000001E-2</v>
      </c>
    </row>
    <row r="85" spans="1:20">
      <c r="A85">
        <v>9</v>
      </c>
      <c r="B85">
        <v>135781956</v>
      </c>
      <c r="C85" t="str">
        <f t="shared" si="3"/>
        <v>9:135781956</v>
      </c>
      <c r="D85">
        <v>4</v>
      </c>
      <c r="E85" s="1">
        <v>2.1798365100000001E-2</v>
      </c>
      <c r="F85">
        <v>1</v>
      </c>
      <c r="G85">
        <v>2</v>
      </c>
      <c r="H85" s="4">
        <v>0</v>
      </c>
      <c r="I85">
        <v>14</v>
      </c>
      <c r="J85">
        <v>162</v>
      </c>
      <c r="K85">
        <v>0</v>
      </c>
      <c r="L85">
        <v>0</v>
      </c>
      <c r="M85">
        <v>0</v>
      </c>
      <c r="N85">
        <v>0</v>
      </c>
      <c r="O85" t="str">
        <f t="shared" si="4"/>
        <v>T</v>
      </c>
      <c r="P85" t="str">
        <f t="shared" si="5"/>
        <v>A</v>
      </c>
      <c r="Q85">
        <f>IF(M85=0,0,VLOOKUP(M85,'aa codes'!$A$1:'aa codes'!$B$21,2))</f>
        <v>0</v>
      </c>
      <c r="R85">
        <f>IF(N85=0,0,VLOOKUP(N85,'aa codes'!$A$1:'aa codes'!$B$21,2))</f>
        <v>0</v>
      </c>
      <c r="S85" s="1">
        <v>1.4760147600000001E-2</v>
      </c>
      <c r="T85" s="1">
        <v>2.1798365100000001E-2</v>
      </c>
    </row>
    <row r="86" spans="1:20">
      <c r="A86">
        <v>9</v>
      </c>
      <c r="B86">
        <v>135781961</v>
      </c>
      <c r="C86" t="str">
        <f t="shared" si="3"/>
        <v>9:135781961</v>
      </c>
      <c r="D86">
        <v>4</v>
      </c>
      <c r="E86" s="1">
        <v>1.4519056299999999E-2</v>
      </c>
      <c r="F86">
        <v>1</v>
      </c>
      <c r="G86">
        <v>2</v>
      </c>
      <c r="H86" s="4">
        <v>0</v>
      </c>
      <c r="I86">
        <v>14</v>
      </c>
      <c r="J86">
        <v>157</v>
      </c>
      <c r="K86">
        <v>0</v>
      </c>
      <c r="L86">
        <v>0</v>
      </c>
      <c r="M86">
        <v>0</v>
      </c>
      <c r="N86">
        <v>0</v>
      </c>
      <c r="O86" t="str">
        <f t="shared" si="4"/>
        <v>T</v>
      </c>
      <c r="P86" t="str">
        <f t="shared" si="5"/>
        <v>A</v>
      </c>
      <c r="Q86">
        <f>IF(M86=0,0,VLOOKUP(M86,'aa codes'!$A$1:'aa codes'!$B$21,2))</f>
        <v>0</v>
      </c>
      <c r="R86">
        <f>IF(N86=0,0,VLOOKUP(N86,'aa codes'!$A$1:'aa codes'!$B$21,2))</f>
        <v>0</v>
      </c>
      <c r="S86" s="1">
        <v>1.4519056299999999E-2</v>
      </c>
      <c r="T86" s="1">
        <v>6.0606060600000003E-3</v>
      </c>
    </row>
    <row r="87" spans="1:20">
      <c r="A87">
        <v>9</v>
      </c>
      <c r="B87">
        <v>135781973</v>
      </c>
      <c r="C87" t="str">
        <f t="shared" si="3"/>
        <v>9:135781973</v>
      </c>
      <c r="D87">
        <v>2</v>
      </c>
      <c r="E87" s="1">
        <v>8.8888888900000001E-3</v>
      </c>
      <c r="F87">
        <v>3</v>
      </c>
      <c r="G87">
        <v>2</v>
      </c>
      <c r="H87" s="4">
        <v>0</v>
      </c>
      <c r="I87">
        <v>14</v>
      </c>
      <c r="J87">
        <v>145</v>
      </c>
      <c r="K87">
        <v>0</v>
      </c>
      <c r="L87">
        <v>0</v>
      </c>
      <c r="M87">
        <v>0</v>
      </c>
      <c r="N87">
        <v>0</v>
      </c>
      <c r="O87" t="str">
        <f t="shared" si="4"/>
        <v>G</v>
      </c>
      <c r="P87" t="str">
        <f t="shared" si="5"/>
        <v>C</v>
      </c>
      <c r="Q87">
        <f>IF(M87=0,0,VLOOKUP(M87,'aa codes'!$A$1:'aa codes'!$B$21,2))</f>
        <v>0</v>
      </c>
      <c r="R87">
        <f>IF(N87=0,0,VLOOKUP(N87,'aa codes'!$A$1:'aa codes'!$B$21,2))</f>
        <v>0</v>
      </c>
      <c r="S87" s="1">
        <v>5.64174894E-3</v>
      </c>
      <c r="T87" s="1">
        <v>8.8888888900000001E-3</v>
      </c>
    </row>
    <row r="88" spans="1:20">
      <c r="A88">
        <v>9</v>
      </c>
      <c r="B88">
        <v>135781976</v>
      </c>
      <c r="C88" t="str">
        <f t="shared" si="3"/>
        <v>9:135781976</v>
      </c>
      <c r="D88">
        <v>4</v>
      </c>
      <c r="E88" s="1">
        <v>1.41643059E-2</v>
      </c>
      <c r="F88">
        <v>1</v>
      </c>
      <c r="G88">
        <v>2</v>
      </c>
      <c r="H88" s="4">
        <v>0</v>
      </c>
      <c r="I88">
        <v>14</v>
      </c>
      <c r="J88">
        <v>142</v>
      </c>
      <c r="K88">
        <v>0</v>
      </c>
      <c r="L88">
        <v>0</v>
      </c>
      <c r="M88">
        <v>0</v>
      </c>
      <c r="N88">
        <v>0</v>
      </c>
      <c r="O88" t="str">
        <f t="shared" si="4"/>
        <v>T</v>
      </c>
      <c r="P88" t="str">
        <f t="shared" si="5"/>
        <v>A</v>
      </c>
      <c r="Q88">
        <f>IF(M88=0,0,VLOOKUP(M88,'aa codes'!$A$1:'aa codes'!$B$21,2))</f>
        <v>0</v>
      </c>
      <c r="R88">
        <f>IF(N88=0,0,VLOOKUP(N88,'aa codes'!$A$1:'aa codes'!$B$21,2))</f>
        <v>0</v>
      </c>
      <c r="S88" s="1">
        <v>1.41643059E-2</v>
      </c>
      <c r="T88" s="1">
        <v>1.13636364E-2</v>
      </c>
    </row>
    <row r="89" spans="1:20">
      <c r="A89">
        <v>9</v>
      </c>
      <c r="B89">
        <v>135781985</v>
      </c>
      <c r="C89" t="str">
        <f t="shared" si="3"/>
        <v>9:135781985</v>
      </c>
      <c r="D89">
        <v>2</v>
      </c>
      <c r="E89" s="1">
        <v>7.7369439100000003E-3</v>
      </c>
      <c r="F89">
        <v>1</v>
      </c>
      <c r="G89">
        <v>2</v>
      </c>
      <c r="H89" s="4">
        <v>0</v>
      </c>
      <c r="I89">
        <v>14</v>
      </c>
      <c r="J89">
        <v>133</v>
      </c>
      <c r="K89">
        <v>0</v>
      </c>
      <c r="L89">
        <v>0</v>
      </c>
      <c r="M89">
        <v>0</v>
      </c>
      <c r="N89">
        <v>0</v>
      </c>
      <c r="O89" t="str">
        <f t="shared" si="4"/>
        <v>G</v>
      </c>
      <c r="P89" t="str">
        <f t="shared" si="5"/>
        <v>A</v>
      </c>
      <c r="Q89">
        <f>IF(M89=0,0,VLOOKUP(M89,'aa codes'!$A$1:'aa codes'!$B$21,2))</f>
        <v>0</v>
      </c>
      <c r="R89">
        <f>IF(N89=0,0,VLOOKUP(N89,'aa codes'!$A$1:'aa codes'!$B$21,2))</f>
        <v>0</v>
      </c>
      <c r="S89" s="1">
        <v>5.2770448499999999E-3</v>
      </c>
      <c r="T89" s="1">
        <v>7.7369439100000003E-3</v>
      </c>
    </row>
    <row r="90" spans="1:20">
      <c r="A90">
        <v>9</v>
      </c>
      <c r="B90">
        <v>135781988</v>
      </c>
      <c r="C90" t="str">
        <f t="shared" si="3"/>
        <v>9:135781988</v>
      </c>
      <c r="D90">
        <v>4</v>
      </c>
      <c r="E90" s="1">
        <v>9.6969697000000004E-3</v>
      </c>
      <c r="F90">
        <v>1</v>
      </c>
      <c r="G90">
        <v>2</v>
      </c>
      <c r="H90" s="4">
        <v>0</v>
      </c>
      <c r="I90">
        <v>14</v>
      </c>
      <c r="J90">
        <v>130</v>
      </c>
      <c r="K90">
        <v>0</v>
      </c>
      <c r="L90">
        <v>0</v>
      </c>
      <c r="M90">
        <v>0</v>
      </c>
      <c r="N90">
        <v>0</v>
      </c>
      <c r="O90" t="str">
        <f t="shared" si="4"/>
        <v>T</v>
      </c>
      <c r="P90" t="str">
        <f t="shared" si="5"/>
        <v>A</v>
      </c>
      <c r="Q90">
        <f>IF(M90=0,0,VLOOKUP(M90,'aa codes'!$A$1:'aa codes'!$B$21,2))</f>
        <v>0</v>
      </c>
      <c r="R90">
        <f>IF(N90=0,0,VLOOKUP(N90,'aa codes'!$A$1:'aa codes'!$B$21,2))</f>
        <v>0</v>
      </c>
      <c r="S90" s="1">
        <v>9.6969697000000004E-3</v>
      </c>
      <c r="T90" s="1">
        <v>8.8028168999999996E-3</v>
      </c>
    </row>
    <row r="91" spans="1:20">
      <c r="A91">
        <v>9</v>
      </c>
      <c r="B91">
        <v>135782858</v>
      </c>
      <c r="C91" t="str">
        <f t="shared" si="3"/>
        <v>9:135782858</v>
      </c>
      <c r="D91">
        <v>3</v>
      </c>
      <c r="E91" s="1">
        <v>7.2115384599999999E-3</v>
      </c>
      <c r="F91">
        <v>1</v>
      </c>
      <c r="G91">
        <v>1</v>
      </c>
      <c r="H91" s="4">
        <v>0</v>
      </c>
      <c r="I91">
        <v>13</v>
      </c>
      <c r="J91">
        <v>-101</v>
      </c>
      <c r="K91">
        <v>0</v>
      </c>
      <c r="L91">
        <v>0</v>
      </c>
      <c r="M91">
        <v>0</v>
      </c>
      <c r="N91">
        <v>0</v>
      </c>
      <c r="O91" t="str">
        <f t="shared" si="4"/>
        <v>C</v>
      </c>
      <c r="P91" t="str">
        <f t="shared" si="5"/>
        <v>A</v>
      </c>
      <c r="Q91">
        <f>IF(M91=0,0,VLOOKUP(M91,'aa codes'!$A$1:'aa codes'!$B$21,2))</f>
        <v>0</v>
      </c>
      <c r="R91">
        <f>IF(N91=0,0,VLOOKUP(N91,'aa codes'!$A$1:'aa codes'!$B$21,2))</f>
        <v>0</v>
      </c>
      <c r="S91" s="1">
        <v>0</v>
      </c>
      <c r="T91" s="1">
        <v>7.2115384599999999E-3</v>
      </c>
    </row>
    <row r="92" spans="1:20">
      <c r="A92">
        <v>9</v>
      </c>
      <c r="B92">
        <v>135782965</v>
      </c>
      <c r="C92" t="str">
        <f t="shared" si="3"/>
        <v>9:135782965</v>
      </c>
      <c r="D92">
        <v>3</v>
      </c>
      <c r="E92" s="1">
        <v>5.2356020900000003E-3</v>
      </c>
      <c r="F92">
        <v>1</v>
      </c>
      <c r="G92">
        <v>1</v>
      </c>
      <c r="H92" s="4">
        <v>0</v>
      </c>
      <c r="I92">
        <v>13</v>
      </c>
      <c r="J92">
        <v>-208</v>
      </c>
      <c r="K92">
        <v>0</v>
      </c>
      <c r="L92">
        <v>0</v>
      </c>
      <c r="M92">
        <v>0</v>
      </c>
      <c r="N92">
        <v>0</v>
      </c>
      <c r="O92" t="str">
        <f t="shared" si="4"/>
        <v>C</v>
      </c>
      <c r="P92" t="str">
        <f t="shared" si="5"/>
        <v>A</v>
      </c>
      <c r="Q92">
        <f>IF(M92=0,0,VLOOKUP(M92,'aa codes'!$A$1:'aa codes'!$B$21,2))</f>
        <v>0</v>
      </c>
      <c r="R92">
        <f>IF(N92=0,0,VLOOKUP(N92,'aa codes'!$A$1:'aa codes'!$B$21,2))</f>
        <v>0</v>
      </c>
      <c r="S92" s="1">
        <v>0</v>
      </c>
      <c r="T92" s="1">
        <v>5.2356020900000003E-3</v>
      </c>
    </row>
    <row r="93" spans="1:20">
      <c r="A93">
        <v>9</v>
      </c>
      <c r="B93">
        <v>135783000</v>
      </c>
      <c r="C93" t="str">
        <f t="shared" si="3"/>
        <v>9:135783000</v>
      </c>
      <c r="D93">
        <v>3</v>
      </c>
      <c r="E93" s="1">
        <v>7.1942446E-3</v>
      </c>
      <c r="F93">
        <v>1</v>
      </c>
      <c r="G93">
        <v>1</v>
      </c>
      <c r="H93" s="4">
        <v>0</v>
      </c>
      <c r="I93">
        <v>13</v>
      </c>
      <c r="J93">
        <v>-243</v>
      </c>
      <c r="K93">
        <v>0</v>
      </c>
      <c r="L93">
        <v>0</v>
      </c>
      <c r="M93">
        <v>0</v>
      </c>
      <c r="N93">
        <v>0</v>
      </c>
      <c r="O93" t="str">
        <f t="shared" si="4"/>
        <v>C</v>
      </c>
      <c r="P93" t="str">
        <f t="shared" si="5"/>
        <v>A</v>
      </c>
      <c r="Q93">
        <f>IF(M93=0,0,VLOOKUP(M93,'aa codes'!$A$1:'aa codes'!$B$21,2))</f>
        <v>0</v>
      </c>
      <c r="R93">
        <f>IF(N93=0,0,VLOOKUP(N93,'aa codes'!$A$1:'aa codes'!$B$21,2))</f>
        <v>0</v>
      </c>
      <c r="S93" s="1">
        <v>0</v>
      </c>
      <c r="T93" s="1">
        <v>7.1942446E-3</v>
      </c>
    </row>
    <row r="94" spans="1:20">
      <c r="A94">
        <v>9</v>
      </c>
      <c r="B94">
        <v>135783004</v>
      </c>
      <c r="C94" t="str">
        <f t="shared" si="3"/>
        <v>9:135783004</v>
      </c>
      <c r="D94">
        <v>2</v>
      </c>
      <c r="E94" s="1">
        <v>7.6335877900000002E-3</v>
      </c>
      <c r="F94">
        <v>4</v>
      </c>
      <c r="G94">
        <v>1</v>
      </c>
      <c r="H94" s="4">
        <v>0</v>
      </c>
      <c r="I94">
        <v>13</v>
      </c>
      <c r="J94">
        <v>-247</v>
      </c>
      <c r="K94">
        <v>0</v>
      </c>
      <c r="L94">
        <v>0</v>
      </c>
      <c r="M94">
        <v>0</v>
      </c>
      <c r="N94">
        <v>0</v>
      </c>
      <c r="O94" t="str">
        <f t="shared" si="4"/>
        <v>G</v>
      </c>
      <c r="P94" t="str">
        <f t="shared" si="5"/>
        <v>T</v>
      </c>
      <c r="Q94">
        <f>IF(M94=0,0,VLOOKUP(M94,'aa codes'!$A$1:'aa codes'!$B$21,2))</f>
        <v>0</v>
      </c>
      <c r="R94">
        <f>IF(N94=0,0,VLOOKUP(N94,'aa codes'!$A$1:'aa codes'!$B$21,2))</f>
        <v>0</v>
      </c>
      <c r="S94" s="1">
        <v>0</v>
      </c>
      <c r="T94" s="1">
        <v>7.6335877900000002E-3</v>
      </c>
    </row>
    <row r="95" spans="1:20">
      <c r="A95">
        <v>9</v>
      </c>
      <c r="B95">
        <v>135783027</v>
      </c>
      <c r="C95" t="str">
        <f t="shared" si="3"/>
        <v>9:135783027</v>
      </c>
      <c r="D95">
        <v>3</v>
      </c>
      <c r="E95" s="1">
        <v>5.4347826100000001E-3</v>
      </c>
      <c r="F95">
        <v>4</v>
      </c>
      <c r="G95">
        <v>1</v>
      </c>
      <c r="H95" s="4">
        <v>0</v>
      </c>
      <c r="I95">
        <v>13</v>
      </c>
      <c r="J95">
        <v>-270</v>
      </c>
      <c r="K95">
        <v>0</v>
      </c>
      <c r="L95">
        <v>0</v>
      </c>
      <c r="M95">
        <v>0</v>
      </c>
      <c r="N95">
        <v>0</v>
      </c>
      <c r="O95" t="str">
        <f t="shared" si="4"/>
        <v>C</v>
      </c>
      <c r="P95" t="str">
        <f t="shared" si="5"/>
        <v>T</v>
      </c>
      <c r="Q95">
        <f>IF(M95=0,0,VLOOKUP(M95,'aa codes'!$A$1:'aa codes'!$B$21,2))</f>
        <v>0</v>
      </c>
      <c r="R95">
        <f>IF(N95=0,0,VLOOKUP(N95,'aa codes'!$A$1:'aa codes'!$B$21,2))</f>
        <v>0</v>
      </c>
      <c r="S95" s="1">
        <v>5.4347826100000001E-3</v>
      </c>
      <c r="T95" s="1">
        <v>0</v>
      </c>
    </row>
    <row r="96" spans="1:20">
      <c r="A96">
        <v>9</v>
      </c>
      <c r="B96">
        <v>135783031</v>
      </c>
      <c r="C96" t="str">
        <f t="shared" si="3"/>
        <v>9:135783031</v>
      </c>
      <c r="D96">
        <v>3</v>
      </c>
      <c r="E96" s="1">
        <v>5.5248618799999998E-3</v>
      </c>
      <c r="F96">
        <v>1</v>
      </c>
      <c r="G96">
        <v>1</v>
      </c>
      <c r="H96" s="4">
        <v>0</v>
      </c>
      <c r="I96">
        <v>13</v>
      </c>
      <c r="J96">
        <v>-274</v>
      </c>
      <c r="K96">
        <v>0</v>
      </c>
      <c r="L96">
        <v>0</v>
      </c>
      <c r="M96">
        <v>0</v>
      </c>
      <c r="N96">
        <v>0</v>
      </c>
      <c r="O96" t="str">
        <f t="shared" si="4"/>
        <v>C</v>
      </c>
      <c r="P96" t="str">
        <f t="shared" si="5"/>
        <v>A</v>
      </c>
      <c r="Q96">
        <f>IF(M96=0,0,VLOOKUP(M96,'aa codes'!$A$1:'aa codes'!$B$21,2))</f>
        <v>0</v>
      </c>
      <c r="R96">
        <f>IF(N96=0,0,VLOOKUP(N96,'aa codes'!$A$1:'aa codes'!$B$21,2))</f>
        <v>0</v>
      </c>
      <c r="S96" s="1">
        <v>5.5248618799999998E-3</v>
      </c>
      <c r="T96" s="1">
        <v>0</v>
      </c>
    </row>
    <row r="97" spans="1:20">
      <c r="A97">
        <v>9</v>
      </c>
      <c r="B97">
        <v>135783033</v>
      </c>
      <c r="C97" t="str">
        <f t="shared" si="3"/>
        <v>9:135783033</v>
      </c>
      <c r="D97">
        <v>3</v>
      </c>
      <c r="E97" s="1">
        <v>5.6179775300000002E-3</v>
      </c>
      <c r="F97">
        <v>4</v>
      </c>
      <c r="G97">
        <v>1</v>
      </c>
      <c r="H97" s="4">
        <v>0</v>
      </c>
      <c r="I97">
        <v>13</v>
      </c>
      <c r="J97">
        <v>-276</v>
      </c>
      <c r="K97">
        <v>0</v>
      </c>
      <c r="L97">
        <v>0</v>
      </c>
      <c r="M97">
        <v>0</v>
      </c>
      <c r="N97">
        <v>0</v>
      </c>
      <c r="O97" t="str">
        <f t="shared" si="4"/>
        <v>C</v>
      </c>
      <c r="P97" t="str">
        <f t="shared" si="5"/>
        <v>T</v>
      </c>
      <c r="Q97">
        <f>IF(M97=0,0,VLOOKUP(M97,'aa codes'!$A$1:'aa codes'!$B$21,2))</f>
        <v>0</v>
      </c>
      <c r="R97">
        <f>IF(N97=0,0,VLOOKUP(N97,'aa codes'!$A$1:'aa codes'!$B$21,2))</f>
        <v>0</v>
      </c>
      <c r="S97" s="1">
        <v>5.6179775300000002E-3</v>
      </c>
      <c r="T97" s="1">
        <v>0</v>
      </c>
    </row>
    <row r="98" spans="1:20">
      <c r="A98">
        <v>9</v>
      </c>
      <c r="B98">
        <v>135783037</v>
      </c>
      <c r="C98" t="str">
        <f t="shared" si="3"/>
        <v>9:135783037</v>
      </c>
      <c r="D98">
        <v>4</v>
      </c>
      <c r="E98" s="1">
        <v>5.98802395E-3</v>
      </c>
      <c r="F98">
        <v>3</v>
      </c>
      <c r="G98">
        <v>1</v>
      </c>
      <c r="H98" s="4">
        <v>0</v>
      </c>
      <c r="I98">
        <v>13</v>
      </c>
      <c r="J98">
        <v>-280</v>
      </c>
      <c r="K98">
        <v>0</v>
      </c>
      <c r="L98">
        <v>0</v>
      </c>
      <c r="M98">
        <v>0</v>
      </c>
      <c r="N98">
        <v>0</v>
      </c>
      <c r="O98" t="str">
        <f t="shared" si="4"/>
        <v>T</v>
      </c>
      <c r="P98" t="str">
        <f t="shared" si="5"/>
        <v>C</v>
      </c>
      <c r="Q98">
        <f>IF(M98=0,0,VLOOKUP(M98,'aa codes'!$A$1:'aa codes'!$B$21,2))</f>
        <v>0</v>
      </c>
      <c r="R98">
        <f>IF(N98=0,0,VLOOKUP(N98,'aa codes'!$A$1:'aa codes'!$B$21,2))</f>
        <v>0</v>
      </c>
      <c r="S98" s="1">
        <v>5.98802395E-3</v>
      </c>
      <c r="T98" s="1">
        <v>0</v>
      </c>
    </row>
    <row r="99" spans="1:20">
      <c r="A99">
        <v>9</v>
      </c>
      <c r="B99">
        <v>135783041</v>
      </c>
      <c r="C99" t="str">
        <f t="shared" si="3"/>
        <v>9:135783041</v>
      </c>
      <c r="D99">
        <v>4</v>
      </c>
      <c r="E99" s="1">
        <v>9.8039215700000005E-3</v>
      </c>
      <c r="F99">
        <v>3</v>
      </c>
      <c r="G99">
        <v>1</v>
      </c>
      <c r="H99" s="4">
        <v>0</v>
      </c>
      <c r="I99">
        <v>13</v>
      </c>
      <c r="J99">
        <v>-284</v>
      </c>
      <c r="K99">
        <v>0</v>
      </c>
      <c r="L99">
        <v>0</v>
      </c>
      <c r="M99">
        <v>0</v>
      </c>
      <c r="N99">
        <v>0</v>
      </c>
      <c r="O99" t="str">
        <f t="shared" si="4"/>
        <v>T</v>
      </c>
      <c r="P99" t="str">
        <f t="shared" si="5"/>
        <v>C</v>
      </c>
      <c r="Q99">
        <f>IF(M99=0,0,VLOOKUP(M99,'aa codes'!$A$1:'aa codes'!$B$21,2))</f>
        <v>0</v>
      </c>
      <c r="R99">
        <f>IF(N99=0,0,VLOOKUP(N99,'aa codes'!$A$1:'aa codes'!$B$21,2))</f>
        <v>0</v>
      </c>
      <c r="S99" s="1">
        <v>0</v>
      </c>
      <c r="T99" s="1">
        <v>9.8039215700000005E-3</v>
      </c>
    </row>
    <row r="100" spans="1:20">
      <c r="A100">
        <v>9</v>
      </c>
      <c r="B100">
        <v>135783057</v>
      </c>
      <c r="C100" t="str">
        <f t="shared" si="3"/>
        <v>9:135783057</v>
      </c>
      <c r="D100">
        <v>1</v>
      </c>
      <c r="E100" s="1">
        <v>7.4626865699999999E-3</v>
      </c>
      <c r="F100">
        <v>4</v>
      </c>
      <c r="G100">
        <v>1</v>
      </c>
      <c r="H100" s="4">
        <v>0</v>
      </c>
      <c r="I100">
        <v>13</v>
      </c>
      <c r="J100">
        <v>-300</v>
      </c>
      <c r="K100">
        <v>0</v>
      </c>
      <c r="L100">
        <v>0</v>
      </c>
      <c r="M100">
        <v>0</v>
      </c>
      <c r="N100">
        <v>0</v>
      </c>
      <c r="O100" t="str">
        <f t="shared" si="4"/>
        <v>A</v>
      </c>
      <c r="P100" t="str">
        <f t="shared" si="5"/>
        <v>T</v>
      </c>
      <c r="Q100">
        <f>IF(M100=0,0,VLOOKUP(M100,'aa codes'!$A$1:'aa codes'!$B$21,2))</f>
        <v>0</v>
      </c>
      <c r="R100">
        <f>IF(N100=0,0,VLOOKUP(N100,'aa codes'!$A$1:'aa codes'!$B$21,2))</f>
        <v>0</v>
      </c>
      <c r="S100" s="1">
        <v>7.4626865699999999E-3</v>
      </c>
      <c r="T100" s="1">
        <v>0</v>
      </c>
    </row>
    <row r="101" spans="1:20">
      <c r="A101">
        <v>9</v>
      </c>
      <c r="B101">
        <v>135783061</v>
      </c>
      <c r="C101" t="str">
        <f t="shared" si="3"/>
        <v>9:135783061</v>
      </c>
      <c r="D101">
        <v>3</v>
      </c>
      <c r="E101" s="1">
        <v>7.3529411800000001E-3</v>
      </c>
      <c r="F101">
        <v>2</v>
      </c>
      <c r="G101">
        <v>1</v>
      </c>
      <c r="H101" s="4">
        <v>0</v>
      </c>
      <c r="I101">
        <v>13</v>
      </c>
      <c r="J101">
        <v>-304</v>
      </c>
      <c r="K101">
        <v>0</v>
      </c>
      <c r="L101">
        <v>0</v>
      </c>
      <c r="M101">
        <v>0</v>
      </c>
      <c r="N101">
        <v>0</v>
      </c>
      <c r="O101" t="str">
        <f t="shared" si="4"/>
        <v>C</v>
      </c>
      <c r="P101" t="str">
        <f t="shared" si="5"/>
        <v>G</v>
      </c>
      <c r="Q101">
        <f>IF(M101=0,0,VLOOKUP(M101,'aa codes'!$A$1:'aa codes'!$B$21,2))</f>
        <v>0</v>
      </c>
      <c r="R101">
        <f>IF(N101=0,0,VLOOKUP(N101,'aa codes'!$A$1:'aa codes'!$B$21,2))</f>
        <v>0</v>
      </c>
      <c r="S101" s="1">
        <v>7.3529411800000001E-3</v>
      </c>
      <c r="T101" s="1">
        <v>0</v>
      </c>
    </row>
    <row r="102" spans="1:20">
      <c r="A102">
        <v>9</v>
      </c>
      <c r="B102">
        <v>135783065</v>
      </c>
      <c r="C102" t="str">
        <f t="shared" si="3"/>
        <v>9:135783065</v>
      </c>
      <c r="D102">
        <v>3</v>
      </c>
      <c r="E102" s="1">
        <v>8.4033613400000002E-3</v>
      </c>
      <c r="F102">
        <v>1</v>
      </c>
      <c r="G102">
        <v>2</v>
      </c>
      <c r="H102" s="4">
        <v>0</v>
      </c>
      <c r="I102">
        <v>13</v>
      </c>
      <c r="J102">
        <v>-308</v>
      </c>
      <c r="K102">
        <v>0</v>
      </c>
      <c r="L102">
        <v>0</v>
      </c>
      <c r="M102">
        <v>0</v>
      </c>
      <c r="N102">
        <v>0</v>
      </c>
      <c r="O102" t="str">
        <f t="shared" si="4"/>
        <v>C</v>
      </c>
      <c r="P102" t="str">
        <f t="shared" si="5"/>
        <v>A</v>
      </c>
      <c r="Q102">
        <f>IF(M102=0,0,VLOOKUP(M102,'aa codes'!$A$1:'aa codes'!$B$21,2))</f>
        <v>0</v>
      </c>
      <c r="R102">
        <f>IF(N102=0,0,VLOOKUP(N102,'aa codes'!$A$1:'aa codes'!$B$21,2))</f>
        <v>0</v>
      </c>
      <c r="S102" s="1">
        <v>6.8493150699999996E-3</v>
      </c>
      <c r="T102" s="1">
        <v>8.4033613400000002E-3</v>
      </c>
    </row>
    <row r="103" spans="1:20">
      <c r="A103">
        <v>9</v>
      </c>
      <c r="B103">
        <v>135783072</v>
      </c>
      <c r="C103" t="str">
        <f t="shared" si="3"/>
        <v>9:135783072</v>
      </c>
      <c r="D103">
        <v>4</v>
      </c>
      <c r="E103" s="1">
        <v>6.8965517199999996E-3</v>
      </c>
      <c r="F103">
        <v>3</v>
      </c>
      <c r="G103">
        <v>1</v>
      </c>
      <c r="H103" s="4">
        <v>0</v>
      </c>
      <c r="I103">
        <v>13</v>
      </c>
      <c r="J103">
        <v>-315</v>
      </c>
      <c r="K103">
        <v>0</v>
      </c>
      <c r="L103">
        <v>0</v>
      </c>
      <c r="M103">
        <v>0</v>
      </c>
      <c r="N103">
        <v>0</v>
      </c>
      <c r="O103" t="str">
        <f t="shared" si="4"/>
        <v>T</v>
      </c>
      <c r="P103" t="str">
        <f t="shared" si="5"/>
        <v>C</v>
      </c>
      <c r="Q103">
        <f>IF(M103=0,0,VLOOKUP(M103,'aa codes'!$A$1:'aa codes'!$B$21,2))</f>
        <v>0</v>
      </c>
      <c r="R103">
        <f>IF(N103=0,0,VLOOKUP(N103,'aa codes'!$A$1:'aa codes'!$B$21,2))</f>
        <v>0</v>
      </c>
      <c r="S103" s="1">
        <v>6.8965517199999996E-3</v>
      </c>
      <c r="T103" s="1">
        <v>0</v>
      </c>
    </row>
    <row r="104" spans="1:20">
      <c r="A104">
        <v>9</v>
      </c>
      <c r="B104">
        <v>135783074</v>
      </c>
      <c r="C104" t="str">
        <f t="shared" si="3"/>
        <v>9:135783074</v>
      </c>
      <c r="D104">
        <v>4</v>
      </c>
      <c r="E104" s="1">
        <v>6.6666666699999998E-3</v>
      </c>
      <c r="F104">
        <v>1</v>
      </c>
      <c r="G104">
        <v>1</v>
      </c>
      <c r="H104" s="4">
        <v>0</v>
      </c>
      <c r="I104">
        <v>13</v>
      </c>
      <c r="J104">
        <v>-317</v>
      </c>
      <c r="K104">
        <v>0</v>
      </c>
      <c r="L104">
        <v>0</v>
      </c>
      <c r="M104">
        <v>0</v>
      </c>
      <c r="N104">
        <v>0</v>
      </c>
      <c r="O104" t="str">
        <f t="shared" si="4"/>
        <v>T</v>
      </c>
      <c r="P104" t="str">
        <f t="shared" si="5"/>
        <v>A</v>
      </c>
      <c r="Q104">
        <f>IF(M104=0,0,VLOOKUP(M104,'aa codes'!$A$1:'aa codes'!$B$21,2))</f>
        <v>0</v>
      </c>
      <c r="R104">
        <f>IF(N104=0,0,VLOOKUP(N104,'aa codes'!$A$1:'aa codes'!$B$21,2))</f>
        <v>0</v>
      </c>
      <c r="S104" s="1">
        <v>6.6666666699999998E-3</v>
      </c>
      <c r="T104" s="1">
        <v>0</v>
      </c>
    </row>
    <row r="105" spans="1:20">
      <c r="A105">
        <v>9</v>
      </c>
      <c r="B105">
        <v>135783078</v>
      </c>
      <c r="C105" t="str">
        <f t="shared" si="3"/>
        <v>9:135783078</v>
      </c>
      <c r="D105">
        <v>3</v>
      </c>
      <c r="E105" s="1">
        <v>6.3694267499999997E-3</v>
      </c>
      <c r="F105">
        <v>4</v>
      </c>
      <c r="G105">
        <v>1</v>
      </c>
      <c r="H105" s="4">
        <v>0</v>
      </c>
      <c r="I105">
        <v>13</v>
      </c>
      <c r="J105">
        <v>-321</v>
      </c>
      <c r="K105">
        <v>0</v>
      </c>
      <c r="L105">
        <v>0</v>
      </c>
      <c r="M105">
        <v>0</v>
      </c>
      <c r="N105">
        <v>0</v>
      </c>
      <c r="O105" t="str">
        <f t="shared" si="4"/>
        <v>C</v>
      </c>
      <c r="P105" t="str">
        <f t="shared" si="5"/>
        <v>T</v>
      </c>
      <c r="Q105">
        <f>IF(M105=0,0,VLOOKUP(M105,'aa codes'!$A$1:'aa codes'!$B$21,2))</f>
        <v>0</v>
      </c>
      <c r="R105">
        <f>IF(N105=0,0,VLOOKUP(N105,'aa codes'!$A$1:'aa codes'!$B$21,2))</f>
        <v>0</v>
      </c>
      <c r="S105" s="1">
        <v>6.3694267499999997E-3</v>
      </c>
      <c r="T105" s="1">
        <v>0</v>
      </c>
    </row>
    <row r="106" spans="1:20">
      <c r="A106">
        <v>9</v>
      </c>
      <c r="B106">
        <v>135783079</v>
      </c>
      <c r="C106" t="str">
        <f t="shared" si="3"/>
        <v>9:135783079</v>
      </c>
      <c r="D106">
        <v>1</v>
      </c>
      <c r="E106" s="1">
        <v>6.4516128999999997E-3</v>
      </c>
      <c r="F106">
        <v>2</v>
      </c>
      <c r="G106">
        <v>1</v>
      </c>
      <c r="H106" s="4">
        <v>0</v>
      </c>
      <c r="I106">
        <v>13</v>
      </c>
      <c r="J106">
        <v>-322</v>
      </c>
      <c r="K106">
        <v>0</v>
      </c>
      <c r="L106">
        <v>0</v>
      </c>
      <c r="M106">
        <v>0</v>
      </c>
      <c r="N106">
        <v>0</v>
      </c>
      <c r="O106" t="str">
        <f t="shared" si="4"/>
        <v>A</v>
      </c>
      <c r="P106" t="str">
        <f t="shared" si="5"/>
        <v>G</v>
      </c>
      <c r="Q106">
        <f>IF(M106=0,0,VLOOKUP(M106,'aa codes'!$A$1:'aa codes'!$B$21,2))</f>
        <v>0</v>
      </c>
      <c r="R106">
        <f>IF(N106=0,0,VLOOKUP(N106,'aa codes'!$A$1:'aa codes'!$B$21,2))</f>
        <v>0</v>
      </c>
      <c r="S106" s="1">
        <v>6.4516128999999997E-3</v>
      </c>
      <c r="T106" s="1">
        <v>0</v>
      </c>
    </row>
    <row r="107" spans="1:20">
      <c r="A107">
        <v>9</v>
      </c>
      <c r="B107">
        <v>135783100</v>
      </c>
      <c r="C107" t="str">
        <f t="shared" si="3"/>
        <v>9:135783100</v>
      </c>
      <c r="D107">
        <v>3</v>
      </c>
      <c r="E107" s="1">
        <v>5.8479532200000003E-3</v>
      </c>
      <c r="F107">
        <v>1</v>
      </c>
      <c r="G107">
        <v>1</v>
      </c>
      <c r="H107" s="4">
        <v>0</v>
      </c>
      <c r="I107">
        <v>13</v>
      </c>
      <c r="J107">
        <v>-343</v>
      </c>
      <c r="K107">
        <v>0</v>
      </c>
      <c r="L107">
        <v>0</v>
      </c>
      <c r="M107">
        <v>0</v>
      </c>
      <c r="N107">
        <v>0</v>
      </c>
      <c r="O107" t="str">
        <f t="shared" si="4"/>
        <v>C</v>
      </c>
      <c r="P107" t="str">
        <f t="shared" si="5"/>
        <v>A</v>
      </c>
      <c r="Q107">
        <f>IF(M107=0,0,VLOOKUP(M107,'aa codes'!$A$1:'aa codes'!$B$21,2))</f>
        <v>0</v>
      </c>
      <c r="R107">
        <f>IF(N107=0,0,VLOOKUP(N107,'aa codes'!$A$1:'aa codes'!$B$21,2))</f>
        <v>0</v>
      </c>
      <c r="S107" s="1">
        <v>5.8479532200000003E-3</v>
      </c>
      <c r="T107" s="1">
        <v>0</v>
      </c>
    </row>
    <row r="108" spans="1:20">
      <c r="A108">
        <v>9</v>
      </c>
      <c r="B108">
        <v>135783103</v>
      </c>
      <c r="C108" t="str">
        <f t="shared" si="3"/>
        <v>9:135783103</v>
      </c>
      <c r="D108">
        <v>3</v>
      </c>
      <c r="E108" s="1">
        <v>7.1428571400000002E-3</v>
      </c>
      <c r="F108">
        <v>4</v>
      </c>
      <c r="G108">
        <v>2</v>
      </c>
      <c r="H108" s="4">
        <v>0</v>
      </c>
      <c r="I108">
        <v>13</v>
      </c>
      <c r="J108">
        <v>-346</v>
      </c>
      <c r="K108">
        <v>0</v>
      </c>
      <c r="L108">
        <v>0</v>
      </c>
      <c r="M108">
        <v>0</v>
      </c>
      <c r="N108">
        <v>0</v>
      </c>
      <c r="O108" t="str">
        <f t="shared" si="4"/>
        <v>C</v>
      </c>
      <c r="P108" t="str">
        <f t="shared" si="5"/>
        <v>T</v>
      </c>
      <c r="Q108">
        <f>IF(M108=0,0,VLOOKUP(M108,'aa codes'!$A$1:'aa codes'!$B$21,2))</f>
        <v>0</v>
      </c>
      <c r="R108">
        <f>IF(N108=0,0,VLOOKUP(N108,'aa codes'!$A$1:'aa codes'!$B$21,2))</f>
        <v>0</v>
      </c>
      <c r="S108" s="1">
        <v>5.6179775300000002E-3</v>
      </c>
      <c r="T108" s="1">
        <v>7.1428571400000002E-3</v>
      </c>
    </row>
    <row r="109" spans="1:20">
      <c r="A109">
        <v>9</v>
      </c>
      <c r="B109">
        <v>135783104</v>
      </c>
      <c r="C109" t="str">
        <f t="shared" si="3"/>
        <v>9:135783104</v>
      </c>
      <c r="D109">
        <v>3</v>
      </c>
      <c r="E109" s="1">
        <v>5.6179775300000002E-3</v>
      </c>
      <c r="F109">
        <v>4</v>
      </c>
      <c r="G109">
        <v>1</v>
      </c>
      <c r="H109" s="4">
        <v>0</v>
      </c>
      <c r="I109">
        <v>13</v>
      </c>
      <c r="J109">
        <v>-347</v>
      </c>
      <c r="K109">
        <v>0</v>
      </c>
      <c r="L109">
        <v>0</v>
      </c>
      <c r="M109">
        <v>0</v>
      </c>
      <c r="N109">
        <v>0</v>
      </c>
      <c r="O109" t="str">
        <f t="shared" si="4"/>
        <v>C</v>
      </c>
      <c r="P109" t="str">
        <f t="shared" si="5"/>
        <v>T</v>
      </c>
      <c r="Q109">
        <f>IF(M109=0,0,VLOOKUP(M109,'aa codes'!$A$1:'aa codes'!$B$21,2))</f>
        <v>0</v>
      </c>
      <c r="R109">
        <f>IF(N109=0,0,VLOOKUP(N109,'aa codes'!$A$1:'aa codes'!$B$21,2))</f>
        <v>0</v>
      </c>
      <c r="S109" s="1">
        <v>5.6179775300000002E-3</v>
      </c>
      <c r="T109" s="1">
        <v>0</v>
      </c>
    </row>
    <row r="110" spans="1:20">
      <c r="A110">
        <v>9</v>
      </c>
      <c r="B110">
        <v>135783105</v>
      </c>
      <c r="C110" t="str">
        <f t="shared" si="3"/>
        <v>9:135783105</v>
      </c>
      <c r="D110">
        <v>1</v>
      </c>
      <c r="E110" s="1">
        <v>5.5865921799999997E-3</v>
      </c>
      <c r="F110">
        <v>2</v>
      </c>
      <c r="G110">
        <v>1</v>
      </c>
      <c r="H110" s="4">
        <v>0</v>
      </c>
      <c r="I110">
        <v>13</v>
      </c>
      <c r="J110">
        <v>-348</v>
      </c>
      <c r="K110">
        <v>0</v>
      </c>
      <c r="L110">
        <v>0</v>
      </c>
      <c r="M110">
        <v>0</v>
      </c>
      <c r="N110">
        <v>0</v>
      </c>
      <c r="O110" t="str">
        <f t="shared" si="4"/>
        <v>A</v>
      </c>
      <c r="P110" t="str">
        <f t="shared" si="5"/>
        <v>G</v>
      </c>
      <c r="Q110">
        <f>IF(M110=0,0,VLOOKUP(M110,'aa codes'!$A$1:'aa codes'!$B$21,2))</f>
        <v>0</v>
      </c>
      <c r="R110">
        <f>IF(N110=0,0,VLOOKUP(N110,'aa codes'!$A$1:'aa codes'!$B$21,2))</f>
        <v>0</v>
      </c>
      <c r="S110" s="1">
        <v>5.5865921799999997E-3</v>
      </c>
      <c r="T110" s="1">
        <v>0</v>
      </c>
    </row>
    <row r="111" spans="1:20">
      <c r="A111">
        <v>9</v>
      </c>
      <c r="B111">
        <v>135783115</v>
      </c>
      <c r="C111" t="str">
        <f t="shared" si="3"/>
        <v>9:135783115</v>
      </c>
      <c r="D111">
        <v>2</v>
      </c>
      <c r="E111" s="1">
        <v>5.3475935799999997E-3</v>
      </c>
      <c r="F111">
        <v>4</v>
      </c>
      <c r="G111">
        <v>1</v>
      </c>
      <c r="H111" s="4">
        <v>0</v>
      </c>
      <c r="I111">
        <v>13</v>
      </c>
      <c r="J111">
        <v>-358</v>
      </c>
      <c r="K111">
        <v>0</v>
      </c>
      <c r="L111">
        <v>0</v>
      </c>
      <c r="M111">
        <v>0</v>
      </c>
      <c r="N111">
        <v>0</v>
      </c>
      <c r="O111" t="str">
        <f t="shared" si="4"/>
        <v>G</v>
      </c>
      <c r="P111" t="str">
        <f t="shared" si="5"/>
        <v>T</v>
      </c>
      <c r="Q111">
        <f>IF(M111=0,0,VLOOKUP(M111,'aa codes'!$A$1:'aa codes'!$B$21,2))</f>
        <v>0</v>
      </c>
      <c r="R111">
        <f>IF(N111=0,0,VLOOKUP(N111,'aa codes'!$A$1:'aa codes'!$B$21,2))</f>
        <v>0</v>
      </c>
      <c r="S111" s="1">
        <v>5.3475935799999997E-3</v>
      </c>
      <c r="T111" s="1">
        <v>0</v>
      </c>
    </row>
    <row r="112" spans="1:20">
      <c r="A112">
        <v>9</v>
      </c>
      <c r="B112">
        <v>135783118</v>
      </c>
      <c r="C112" t="str">
        <f t="shared" si="3"/>
        <v>9:135783118</v>
      </c>
      <c r="D112">
        <v>3</v>
      </c>
      <c r="E112" s="1">
        <v>5.2083333300000003E-3</v>
      </c>
      <c r="F112">
        <v>2</v>
      </c>
      <c r="G112">
        <v>1</v>
      </c>
      <c r="H112" s="4">
        <v>0</v>
      </c>
      <c r="I112">
        <v>13</v>
      </c>
      <c r="J112">
        <v>-361</v>
      </c>
      <c r="K112">
        <v>0</v>
      </c>
      <c r="L112">
        <v>0</v>
      </c>
      <c r="M112">
        <v>0</v>
      </c>
      <c r="N112">
        <v>0</v>
      </c>
      <c r="O112" t="str">
        <f t="shared" si="4"/>
        <v>C</v>
      </c>
      <c r="P112" t="str">
        <f t="shared" si="5"/>
        <v>G</v>
      </c>
      <c r="Q112">
        <f>IF(M112=0,0,VLOOKUP(M112,'aa codes'!$A$1:'aa codes'!$B$21,2))</f>
        <v>0</v>
      </c>
      <c r="R112">
        <f>IF(N112=0,0,VLOOKUP(N112,'aa codes'!$A$1:'aa codes'!$B$21,2))</f>
        <v>0</v>
      </c>
      <c r="S112" s="1">
        <v>5.2083333300000003E-3</v>
      </c>
      <c r="T112" s="1">
        <v>0</v>
      </c>
    </row>
    <row r="113" spans="1:20">
      <c r="A113">
        <v>9</v>
      </c>
      <c r="B113">
        <v>135783129</v>
      </c>
      <c r="C113" t="str">
        <f t="shared" si="3"/>
        <v>9:135783129</v>
      </c>
      <c r="D113">
        <v>2</v>
      </c>
      <c r="E113" s="1">
        <v>6.4102564099999997E-3</v>
      </c>
      <c r="F113">
        <v>1</v>
      </c>
      <c r="G113">
        <v>1</v>
      </c>
      <c r="H113" s="4">
        <v>3.2400000000000001E-5</v>
      </c>
      <c r="I113">
        <v>13</v>
      </c>
      <c r="J113">
        <v>-372</v>
      </c>
      <c r="K113">
        <v>0</v>
      </c>
      <c r="L113">
        <v>0</v>
      </c>
      <c r="M113">
        <v>0</v>
      </c>
      <c r="N113">
        <v>0</v>
      </c>
      <c r="O113" t="str">
        <f t="shared" si="4"/>
        <v>G</v>
      </c>
      <c r="P113" t="str">
        <f t="shared" si="5"/>
        <v>A</v>
      </c>
      <c r="Q113">
        <f>IF(M113=0,0,VLOOKUP(M113,'aa codes'!$A$1:'aa codes'!$B$21,2))</f>
        <v>0</v>
      </c>
      <c r="R113">
        <f>IF(N113=0,0,VLOOKUP(N113,'aa codes'!$A$1:'aa codes'!$B$21,2))</f>
        <v>0</v>
      </c>
      <c r="S113" s="1">
        <v>4.6728971999999997E-3</v>
      </c>
      <c r="T113" s="1">
        <v>6.4102564099999997E-3</v>
      </c>
    </row>
    <row r="114" spans="1:20">
      <c r="A114">
        <v>9</v>
      </c>
      <c r="B114">
        <v>135783143</v>
      </c>
      <c r="C114" t="str">
        <f t="shared" si="3"/>
        <v>9:135783143</v>
      </c>
      <c r="D114">
        <v>3</v>
      </c>
      <c r="E114" s="1">
        <v>6.0606060600000003E-3</v>
      </c>
      <c r="F114">
        <v>4</v>
      </c>
      <c r="G114">
        <v>1</v>
      </c>
      <c r="H114" s="4">
        <v>0</v>
      </c>
      <c r="I114">
        <v>13</v>
      </c>
      <c r="J114">
        <v>-386</v>
      </c>
      <c r="K114">
        <v>0</v>
      </c>
      <c r="L114">
        <v>0</v>
      </c>
      <c r="M114">
        <v>0</v>
      </c>
      <c r="N114">
        <v>0</v>
      </c>
      <c r="O114" t="str">
        <f t="shared" si="4"/>
        <v>C</v>
      </c>
      <c r="P114" t="str">
        <f t="shared" si="5"/>
        <v>T</v>
      </c>
      <c r="Q114">
        <f>IF(M114=0,0,VLOOKUP(M114,'aa codes'!$A$1:'aa codes'!$B$21,2))</f>
        <v>0</v>
      </c>
      <c r="R114">
        <f>IF(N114=0,0,VLOOKUP(N114,'aa codes'!$A$1:'aa codes'!$B$21,2))</f>
        <v>0</v>
      </c>
      <c r="S114" s="1">
        <v>0</v>
      </c>
      <c r="T114" s="1">
        <v>6.0606060600000003E-3</v>
      </c>
    </row>
    <row r="115" spans="1:20">
      <c r="A115">
        <v>9</v>
      </c>
      <c r="B115">
        <v>135783172</v>
      </c>
      <c r="C115" t="str">
        <f t="shared" si="3"/>
        <v>9:135783172</v>
      </c>
      <c r="D115">
        <v>1</v>
      </c>
      <c r="E115" s="1">
        <v>5.5555555599999997E-3</v>
      </c>
      <c r="F115">
        <v>2</v>
      </c>
      <c r="G115">
        <v>1</v>
      </c>
      <c r="H115" s="4">
        <v>0</v>
      </c>
      <c r="I115">
        <v>13</v>
      </c>
      <c r="J115">
        <v>-415</v>
      </c>
      <c r="K115">
        <v>0</v>
      </c>
      <c r="L115">
        <v>0</v>
      </c>
      <c r="M115">
        <v>0</v>
      </c>
      <c r="N115">
        <v>0</v>
      </c>
      <c r="O115" t="str">
        <f t="shared" si="4"/>
        <v>A</v>
      </c>
      <c r="P115" t="str">
        <f t="shared" si="5"/>
        <v>G</v>
      </c>
      <c r="Q115">
        <f>IF(M115=0,0,VLOOKUP(M115,'aa codes'!$A$1:'aa codes'!$B$21,2))</f>
        <v>0</v>
      </c>
      <c r="R115">
        <f>IF(N115=0,0,VLOOKUP(N115,'aa codes'!$A$1:'aa codes'!$B$21,2))</f>
        <v>0</v>
      </c>
      <c r="S115" s="1">
        <v>0</v>
      </c>
      <c r="T115" s="1">
        <v>5.5555555599999997E-3</v>
      </c>
    </row>
    <row r="116" spans="1:20">
      <c r="A116">
        <v>9</v>
      </c>
      <c r="B116">
        <v>135783293</v>
      </c>
      <c r="C116" t="str">
        <f t="shared" si="3"/>
        <v>9:135783293</v>
      </c>
      <c r="D116">
        <v>2</v>
      </c>
      <c r="E116" s="1">
        <v>5.7471264399999999E-3</v>
      </c>
      <c r="F116">
        <v>1</v>
      </c>
      <c r="G116">
        <v>1</v>
      </c>
      <c r="H116" s="4">
        <v>0</v>
      </c>
      <c r="I116">
        <v>13</v>
      </c>
      <c r="J116">
        <v>-536</v>
      </c>
      <c r="K116">
        <v>0</v>
      </c>
      <c r="L116">
        <v>0</v>
      </c>
      <c r="M116">
        <v>0</v>
      </c>
      <c r="N116">
        <v>0</v>
      </c>
      <c r="O116" t="str">
        <f t="shared" si="4"/>
        <v>G</v>
      </c>
      <c r="P116" t="str">
        <f t="shared" si="5"/>
        <v>A</v>
      </c>
      <c r="Q116">
        <f>IF(M116=0,0,VLOOKUP(M116,'aa codes'!$A$1:'aa codes'!$B$21,2))</f>
        <v>0</v>
      </c>
      <c r="R116">
        <f>IF(N116=0,0,VLOOKUP(N116,'aa codes'!$A$1:'aa codes'!$B$21,2))</f>
        <v>0</v>
      </c>
      <c r="S116" s="1">
        <v>2.4271844700000001E-3</v>
      </c>
      <c r="T116" s="1">
        <v>5.7471264399999999E-3</v>
      </c>
    </row>
    <row r="117" spans="1:20">
      <c r="A117">
        <v>9</v>
      </c>
      <c r="B117">
        <v>135783360</v>
      </c>
      <c r="C117" t="str">
        <f t="shared" si="3"/>
        <v>9:135783360</v>
      </c>
      <c r="D117">
        <v>1</v>
      </c>
      <c r="E117" s="1">
        <v>6.7340067300000004E-3</v>
      </c>
      <c r="F117">
        <v>2</v>
      </c>
      <c r="G117">
        <v>1</v>
      </c>
      <c r="H117" s="4">
        <v>0</v>
      </c>
      <c r="I117">
        <v>13</v>
      </c>
      <c r="J117">
        <v>-603</v>
      </c>
      <c r="K117">
        <v>0</v>
      </c>
      <c r="L117">
        <v>0</v>
      </c>
      <c r="M117">
        <v>0</v>
      </c>
      <c r="N117">
        <v>0</v>
      </c>
      <c r="O117" t="str">
        <f t="shared" si="4"/>
        <v>A</v>
      </c>
      <c r="P117" t="str">
        <f t="shared" si="5"/>
        <v>G</v>
      </c>
      <c r="Q117">
        <f>IF(M117=0,0,VLOOKUP(M117,'aa codes'!$A$1:'aa codes'!$B$21,2))</f>
        <v>0</v>
      </c>
      <c r="R117">
        <f>IF(N117=0,0,VLOOKUP(N117,'aa codes'!$A$1:'aa codes'!$B$21,2))</f>
        <v>0</v>
      </c>
      <c r="S117" s="1">
        <v>0</v>
      </c>
      <c r="T117" s="1">
        <v>6.7340067300000004E-3</v>
      </c>
    </row>
    <row r="118" spans="1:20">
      <c r="A118">
        <v>9</v>
      </c>
      <c r="B118">
        <v>135783365</v>
      </c>
      <c r="C118" t="str">
        <f t="shared" si="3"/>
        <v>9:135783365</v>
      </c>
      <c r="D118">
        <v>3</v>
      </c>
      <c r="E118" s="1">
        <v>6.4724919100000002E-3</v>
      </c>
      <c r="F118">
        <v>4</v>
      </c>
      <c r="G118">
        <v>1</v>
      </c>
      <c r="H118" s="4">
        <v>0</v>
      </c>
      <c r="I118">
        <v>13</v>
      </c>
      <c r="J118">
        <v>-608</v>
      </c>
      <c r="K118">
        <v>0</v>
      </c>
      <c r="L118">
        <v>0</v>
      </c>
      <c r="M118">
        <v>0</v>
      </c>
      <c r="N118">
        <v>0</v>
      </c>
      <c r="O118" t="str">
        <f t="shared" si="4"/>
        <v>C</v>
      </c>
      <c r="P118" t="str">
        <f t="shared" si="5"/>
        <v>T</v>
      </c>
      <c r="Q118">
        <f>IF(M118=0,0,VLOOKUP(M118,'aa codes'!$A$1:'aa codes'!$B$21,2))</f>
        <v>0</v>
      </c>
      <c r="R118">
        <f>IF(N118=0,0,VLOOKUP(N118,'aa codes'!$A$1:'aa codes'!$B$21,2))</f>
        <v>0</v>
      </c>
      <c r="S118" s="1">
        <v>0</v>
      </c>
      <c r="T118" s="1">
        <v>6.4724919100000002E-3</v>
      </c>
    </row>
    <row r="119" spans="1:20">
      <c r="A119">
        <v>9</v>
      </c>
      <c r="B119">
        <v>135783641</v>
      </c>
      <c r="C119" t="str">
        <f t="shared" si="3"/>
        <v>9:135783641</v>
      </c>
      <c r="D119">
        <v>1</v>
      </c>
      <c r="E119" s="1">
        <v>5.9171597600000004E-3</v>
      </c>
      <c r="F119">
        <v>4</v>
      </c>
      <c r="G119">
        <v>1</v>
      </c>
      <c r="H119" s="4">
        <v>0</v>
      </c>
      <c r="I119">
        <v>13</v>
      </c>
      <c r="J119">
        <v>-884</v>
      </c>
      <c r="K119">
        <v>0</v>
      </c>
      <c r="L119">
        <v>0</v>
      </c>
      <c r="M119">
        <v>0</v>
      </c>
      <c r="N119">
        <v>0</v>
      </c>
      <c r="O119" t="str">
        <f t="shared" si="4"/>
        <v>A</v>
      </c>
      <c r="P119" t="str">
        <f t="shared" si="5"/>
        <v>T</v>
      </c>
      <c r="Q119">
        <f>IF(M119=0,0,VLOOKUP(M119,'aa codes'!$A$1:'aa codes'!$B$21,2))</f>
        <v>0</v>
      </c>
      <c r="R119">
        <f>IF(N119=0,0,VLOOKUP(N119,'aa codes'!$A$1:'aa codes'!$B$21,2))</f>
        <v>0</v>
      </c>
      <c r="S119" s="1">
        <v>0</v>
      </c>
      <c r="T119" s="1">
        <v>5.9171597600000004E-3</v>
      </c>
    </row>
    <row r="120" spans="1:20">
      <c r="A120">
        <v>9</v>
      </c>
      <c r="B120">
        <v>135783942</v>
      </c>
      <c r="C120" t="str">
        <f t="shared" si="3"/>
        <v>9:135783942</v>
      </c>
      <c r="D120">
        <v>3</v>
      </c>
      <c r="E120" s="1">
        <v>6.3532401499999999E-3</v>
      </c>
      <c r="F120">
        <v>4</v>
      </c>
      <c r="G120">
        <v>1</v>
      </c>
      <c r="H120" s="4">
        <v>0</v>
      </c>
      <c r="I120">
        <v>13</v>
      </c>
      <c r="J120">
        <v>-1185</v>
      </c>
      <c r="K120">
        <v>0</v>
      </c>
      <c r="L120">
        <v>0</v>
      </c>
      <c r="M120">
        <v>0</v>
      </c>
      <c r="N120">
        <v>0</v>
      </c>
      <c r="O120" t="str">
        <f t="shared" si="4"/>
        <v>C</v>
      </c>
      <c r="P120" t="str">
        <f t="shared" si="5"/>
        <v>T</v>
      </c>
      <c r="Q120">
        <f>IF(M120=0,0,VLOOKUP(M120,'aa codes'!$A$1:'aa codes'!$B$21,2))</f>
        <v>0</v>
      </c>
      <c r="R120">
        <f>IF(N120=0,0,VLOOKUP(N120,'aa codes'!$A$1:'aa codes'!$B$21,2))</f>
        <v>0</v>
      </c>
      <c r="S120" s="1">
        <v>6.3532401499999999E-3</v>
      </c>
      <c r="T120" s="1">
        <v>0</v>
      </c>
    </row>
    <row r="121" spans="1:20">
      <c r="A121">
        <v>9</v>
      </c>
      <c r="B121">
        <v>135783980</v>
      </c>
      <c r="C121" t="str">
        <f t="shared" si="3"/>
        <v>9:135783980</v>
      </c>
      <c r="D121">
        <v>1</v>
      </c>
      <c r="E121" s="1">
        <v>6.0060060100000003E-3</v>
      </c>
      <c r="F121">
        <v>2</v>
      </c>
      <c r="G121">
        <v>1</v>
      </c>
      <c r="H121" s="4">
        <v>0</v>
      </c>
      <c r="I121">
        <v>13</v>
      </c>
      <c r="J121">
        <v>-1223</v>
      </c>
      <c r="K121">
        <v>0</v>
      </c>
      <c r="L121">
        <v>0</v>
      </c>
      <c r="M121">
        <v>0</v>
      </c>
      <c r="N121">
        <v>0</v>
      </c>
      <c r="O121" t="str">
        <f t="shared" si="4"/>
        <v>A</v>
      </c>
      <c r="P121" t="str">
        <f t="shared" si="5"/>
        <v>G</v>
      </c>
      <c r="Q121">
        <f>IF(M121=0,0,VLOOKUP(M121,'aa codes'!$A$1:'aa codes'!$B$21,2))</f>
        <v>0</v>
      </c>
      <c r="R121">
        <f>IF(N121=0,0,VLOOKUP(N121,'aa codes'!$A$1:'aa codes'!$B$21,2))</f>
        <v>0</v>
      </c>
      <c r="S121" s="1">
        <v>6.0060060100000003E-3</v>
      </c>
      <c r="T121" s="1">
        <v>2.49376559E-3</v>
      </c>
    </row>
    <row r="122" spans="1:20">
      <c r="A122">
        <v>9</v>
      </c>
      <c r="B122">
        <v>135783986</v>
      </c>
      <c r="C122" t="str">
        <f t="shared" si="3"/>
        <v>9:135783986</v>
      </c>
      <c r="D122">
        <v>1</v>
      </c>
      <c r="E122" s="1">
        <v>9.4043887099999994E-3</v>
      </c>
      <c r="F122">
        <v>3</v>
      </c>
      <c r="G122">
        <v>2</v>
      </c>
      <c r="H122" s="4">
        <v>0</v>
      </c>
      <c r="I122">
        <v>13</v>
      </c>
      <c r="J122">
        <v>-1229</v>
      </c>
      <c r="K122">
        <v>0</v>
      </c>
      <c r="L122">
        <v>0</v>
      </c>
      <c r="M122">
        <v>0</v>
      </c>
      <c r="N122">
        <v>0</v>
      </c>
      <c r="O122" t="str">
        <f t="shared" si="4"/>
        <v>A</v>
      </c>
      <c r="P122" t="str">
        <f t="shared" si="5"/>
        <v>C</v>
      </c>
      <c r="Q122">
        <f>IF(M122=0,0,VLOOKUP(M122,'aa codes'!$A$1:'aa codes'!$B$21,2))</f>
        <v>0</v>
      </c>
      <c r="R122">
        <f>IF(N122=0,0,VLOOKUP(N122,'aa codes'!$A$1:'aa codes'!$B$21,2))</f>
        <v>0</v>
      </c>
      <c r="S122" s="1">
        <v>9.4043887099999994E-3</v>
      </c>
      <c r="T122" s="1">
        <v>5.3475935799999997E-3</v>
      </c>
    </row>
    <row r="123" spans="1:20">
      <c r="A123">
        <v>9</v>
      </c>
      <c r="B123">
        <v>135783989</v>
      </c>
      <c r="C123" t="str">
        <f t="shared" si="3"/>
        <v>9:135783989</v>
      </c>
      <c r="D123">
        <v>1</v>
      </c>
      <c r="E123" s="1">
        <v>1.5503876E-2</v>
      </c>
      <c r="F123">
        <v>3</v>
      </c>
      <c r="G123">
        <v>2</v>
      </c>
      <c r="H123" s="4">
        <v>0</v>
      </c>
      <c r="I123">
        <v>13</v>
      </c>
      <c r="J123">
        <v>-1232</v>
      </c>
      <c r="K123">
        <v>0</v>
      </c>
      <c r="L123">
        <v>0</v>
      </c>
      <c r="M123">
        <v>0</v>
      </c>
      <c r="N123">
        <v>0</v>
      </c>
      <c r="O123" t="str">
        <f t="shared" si="4"/>
        <v>A</v>
      </c>
      <c r="P123" t="str">
        <f t="shared" si="5"/>
        <v>C</v>
      </c>
      <c r="Q123">
        <f>IF(M123=0,0,VLOOKUP(M123,'aa codes'!$A$1:'aa codes'!$B$21,2))</f>
        <v>0</v>
      </c>
      <c r="R123">
        <f>IF(N123=0,0,VLOOKUP(N123,'aa codes'!$A$1:'aa codes'!$B$21,2))</f>
        <v>0</v>
      </c>
      <c r="S123" s="1">
        <v>1.5503876E-2</v>
      </c>
      <c r="T123" s="1">
        <v>7.9787234000000002E-3</v>
      </c>
    </row>
    <row r="124" spans="1:20">
      <c r="A124">
        <v>9</v>
      </c>
      <c r="B124">
        <v>135783992</v>
      </c>
      <c r="C124" t="str">
        <f t="shared" si="3"/>
        <v>9:135783992</v>
      </c>
      <c r="D124">
        <v>1</v>
      </c>
      <c r="E124" s="1">
        <v>2.7156549499999998E-2</v>
      </c>
      <c r="F124">
        <v>3</v>
      </c>
      <c r="G124">
        <v>2</v>
      </c>
      <c r="H124" s="4">
        <v>0</v>
      </c>
      <c r="I124">
        <v>13</v>
      </c>
      <c r="J124">
        <v>-1235</v>
      </c>
      <c r="K124">
        <v>0</v>
      </c>
      <c r="L124">
        <v>0</v>
      </c>
      <c r="M124">
        <v>0</v>
      </c>
      <c r="N124">
        <v>0</v>
      </c>
      <c r="O124" t="str">
        <f t="shared" si="4"/>
        <v>A</v>
      </c>
      <c r="P124" t="str">
        <f t="shared" si="5"/>
        <v>C</v>
      </c>
      <c r="Q124">
        <f>IF(M124=0,0,VLOOKUP(M124,'aa codes'!$A$1:'aa codes'!$B$21,2))</f>
        <v>0</v>
      </c>
      <c r="R124">
        <f>IF(N124=0,0,VLOOKUP(N124,'aa codes'!$A$1:'aa codes'!$B$21,2))</f>
        <v>0</v>
      </c>
      <c r="S124" s="1">
        <v>2.7156549499999998E-2</v>
      </c>
      <c r="T124" s="1">
        <v>2.15633423E-2</v>
      </c>
    </row>
    <row r="125" spans="1:20">
      <c r="A125">
        <v>9</v>
      </c>
      <c r="B125">
        <v>135783994</v>
      </c>
      <c r="C125" t="str">
        <f t="shared" si="3"/>
        <v>9:135783994</v>
      </c>
      <c r="D125">
        <v>1</v>
      </c>
      <c r="E125" s="1">
        <v>3.2310177699999998E-2</v>
      </c>
      <c r="F125">
        <v>3</v>
      </c>
      <c r="G125">
        <v>2</v>
      </c>
      <c r="H125" s="4">
        <v>1.54E-2</v>
      </c>
      <c r="I125">
        <v>13</v>
      </c>
      <c r="J125">
        <v>-1237</v>
      </c>
      <c r="K125">
        <v>0</v>
      </c>
      <c r="L125">
        <v>0</v>
      </c>
      <c r="M125">
        <v>0</v>
      </c>
      <c r="N125">
        <v>0</v>
      </c>
      <c r="O125" t="str">
        <f t="shared" si="4"/>
        <v>A</v>
      </c>
      <c r="P125" t="str">
        <f t="shared" si="5"/>
        <v>C</v>
      </c>
      <c r="Q125">
        <f>IF(M125=0,0,VLOOKUP(M125,'aa codes'!$A$1:'aa codes'!$B$21,2))</f>
        <v>0</v>
      </c>
      <c r="R125">
        <f>IF(N125=0,0,VLOOKUP(N125,'aa codes'!$A$1:'aa codes'!$B$21,2))</f>
        <v>0</v>
      </c>
      <c r="S125" s="1">
        <v>3.2310177699999998E-2</v>
      </c>
      <c r="T125" s="1">
        <v>1.3812154700000001E-2</v>
      </c>
    </row>
    <row r="126" spans="1:20">
      <c r="A126">
        <v>9</v>
      </c>
      <c r="B126">
        <v>135784000</v>
      </c>
      <c r="C126" t="str">
        <f t="shared" si="3"/>
        <v>9:135784000</v>
      </c>
      <c r="D126">
        <v>3</v>
      </c>
      <c r="E126" s="1">
        <v>7.8988941500000003E-3</v>
      </c>
      <c r="F126">
        <v>2</v>
      </c>
      <c r="G126">
        <v>2</v>
      </c>
      <c r="H126" s="4">
        <v>0</v>
      </c>
      <c r="I126">
        <v>13</v>
      </c>
      <c r="J126">
        <v>-1243</v>
      </c>
      <c r="K126">
        <v>0</v>
      </c>
      <c r="L126">
        <v>0</v>
      </c>
      <c r="M126">
        <v>0</v>
      </c>
      <c r="N126">
        <v>0</v>
      </c>
      <c r="O126" t="str">
        <f t="shared" si="4"/>
        <v>C</v>
      </c>
      <c r="P126" t="str">
        <f t="shared" si="5"/>
        <v>G</v>
      </c>
      <c r="Q126">
        <f>IF(M126=0,0,VLOOKUP(M126,'aa codes'!$A$1:'aa codes'!$B$21,2))</f>
        <v>0</v>
      </c>
      <c r="R126">
        <f>IF(N126=0,0,VLOOKUP(N126,'aa codes'!$A$1:'aa codes'!$B$21,2))</f>
        <v>0</v>
      </c>
      <c r="S126" s="1">
        <v>7.7262693199999996E-3</v>
      </c>
      <c r="T126" s="1">
        <v>7.8988941500000003E-3</v>
      </c>
    </row>
    <row r="127" spans="1:20">
      <c r="A127">
        <v>9</v>
      </c>
      <c r="B127">
        <v>135784001</v>
      </c>
      <c r="C127" t="str">
        <f t="shared" si="3"/>
        <v>9:135784001</v>
      </c>
      <c r="D127">
        <v>4</v>
      </c>
      <c r="E127" s="1">
        <v>2.15053763E-2</v>
      </c>
      <c r="F127">
        <v>3</v>
      </c>
      <c r="G127">
        <v>2</v>
      </c>
      <c r="H127" s="4">
        <v>0</v>
      </c>
      <c r="I127">
        <v>13</v>
      </c>
      <c r="J127">
        <v>-1244</v>
      </c>
      <c r="K127">
        <v>0</v>
      </c>
      <c r="L127">
        <v>0</v>
      </c>
      <c r="M127">
        <v>0</v>
      </c>
      <c r="N127">
        <v>0</v>
      </c>
      <c r="O127" t="str">
        <f t="shared" si="4"/>
        <v>T</v>
      </c>
      <c r="P127" t="str">
        <f t="shared" si="5"/>
        <v>C</v>
      </c>
      <c r="Q127">
        <f>IF(M127=0,0,VLOOKUP(M127,'aa codes'!$A$1:'aa codes'!$B$21,2))</f>
        <v>0</v>
      </c>
      <c r="R127">
        <f>IF(N127=0,0,VLOOKUP(N127,'aa codes'!$A$1:'aa codes'!$B$21,2))</f>
        <v>0</v>
      </c>
      <c r="S127" s="1">
        <v>1.22164049E-2</v>
      </c>
      <c r="T127" s="1">
        <v>2.15053763E-2</v>
      </c>
    </row>
    <row r="128" spans="1:20">
      <c r="A128">
        <v>9</v>
      </c>
      <c r="B128">
        <v>135784002</v>
      </c>
      <c r="C128" t="str">
        <f t="shared" si="3"/>
        <v>9:135784002</v>
      </c>
      <c r="D128">
        <v>4</v>
      </c>
      <c r="E128" s="1">
        <v>8.8691796000000007E-3</v>
      </c>
      <c r="F128">
        <v>3</v>
      </c>
      <c r="G128">
        <v>1</v>
      </c>
      <c r="H128" s="4">
        <v>0</v>
      </c>
      <c r="I128">
        <v>13</v>
      </c>
      <c r="J128">
        <v>-1245</v>
      </c>
      <c r="K128">
        <v>0</v>
      </c>
      <c r="L128">
        <v>0</v>
      </c>
      <c r="M128">
        <v>0</v>
      </c>
      <c r="N128">
        <v>0</v>
      </c>
      <c r="O128" t="str">
        <f t="shared" si="4"/>
        <v>T</v>
      </c>
      <c r="P128" t="str">
        <f t="shared" si="5"/>
        <v>C</v>
      </c>
      <c r="Q128">
        <f>IF(M128=0,0,VLOOKUP(M128,'aa codes'!$A$1:'aa codes'!$B$21,2))</f>
        <v>0</v>
      </c>
      <c r="R128">
        <f>IF(N128=0,0,VLOOKUP(N128,'aa codes'!$A$1:'aa codes'!$B$21,2))</f>
        <v>0</v>
      </c>
      <c r="S128" s="1">
        <v>0</v>
      </c>
      <c r="T128" s="1">
        <v>8.8691796000000007E-3</v>
      </c>
    </row>
    <row r="129" spans="1:20">
      <c r="A129">
        <v>9</v>
      </c>
      <c r="B129">
        <v>135784015</v>
      </c>
      <c r="C129" t="str">
        <f t="shared" si="3"/>
        <v>9:135784015</v>
      </c>
      <c r="D129">
        <v>4</v>
      </c>
      <c r="E129" s="1">
        <v>7.6804915499999998E-3</v>
      </c>
      <c r="F129">
        <v>1</v>
      </c>
      <c r="G129">
        <v>1</v>
      </c>
      <c r="H129" s="4">
        <v>0</v>
      </c>
      <c r="I129">
        <v>13</v>
      </c>
      <c r="J129">
        <v>-1258</v>
      </c>
      <c r="K129">
        <v>0</v>
      </c>
      <c r="L129">
        <v>0</v>
      </c>
      <c r="M129">
        <v>0</v>
      </c>
      <c r="N129">
        <v>0</v>
      </c>
      <c r="O129" t="str">
        <f t="shared" si="4"/>
        <v>T</v>
      </c>
      <c r="P129" t="str">
        <f t="shared" si="5"/>
        <v>A</v>
      </c>
      <c r="Q129">
        <f>IF(M129=0,0,VLOOKUP(M129,'aa codes'!$A$1:'aa codes'!$B$21,2))</f>
        <v>0</v>
      </c>
      <c r="R129">
        <f>IF(N129=0,0,VLOOKUP(N129,'aa codes'!$A$1:'aa codes'!$B$21,2))</f>
        <v>0</v>
      </c>
      <c r="S129" s="1">
        <v>7.6804915499999998E-3</v>
      </c>
      <c r="T129" s="1">
        <v>2.05761317E-3</v>
      </c>
    </row>
    <row r="130" spans="1:20">
      <c r="A130">
        <v>9</v>
      </c>
      <c r="B130">
        <v>135784016</v>
      </c>
      <c r="C130" t="str">
        <f t="shared" si="3"/>
        <v>9:135784016</v>
      </c>
      <c r="D130">
        <v>1</v>
      </c>
      <c r="E130" s="1">
        <v>2.02205882E-2</v>
      </c>
      <c r="F130">
        <v>4</v>
      </c>
      <c r="G130">
        <v>2</v>
      </c>
      <c r="H130" s="4">
        <v>0</v>
      </c>
      <c r="I130">
        <v>13</v>
      </c>
      <c r="J130">
        <v>-1259</v>
      </c>
      <c r="K130">
        <v>0</v>
      </c>
      <c r="L130">
        <v>0</v>
      </c>
      <c r="M130">
        <v>0</v>
      </c>
      <c r="N130">
        <v>0</v>
      </c>
      <c r="O130" t="str">
        <f t="shared" si="4"/>
        <v>A</v>
      </c>
      <c r="P130" t="str">
        <f t="shared" si="5"/>
        <v>T</v>
      </c>
      <c r="Q130">
        <f>IF(M130=0,0,VLOOKUP(M130,'aa codes'!$A$1:'aa codes'!$B$21,2))</f>
        <v>0</v>
      </c>
      <c r="R130">
        <f>IF(N130=0,0,VLOOKUP(N130,'aa codes'!$A$1:'aa codes'!$B$21,2))</f>
        <v>0</v>
      </c>
      <c r="S130" s="1">
        <v>2.02205882E-2</v>
      </c>
      <c r="T130" s="1">
        <v>5.3191489399999998E-3</v>
      </c>
    </row>
    <row r="131" spans="1:20">
      <c r="A131">
        <v>9</v>
      </c>
      <c r="B131">
        <v>135784017</v>
      </c>
      <c r="C131" t="str">
        <f t="shared" ref="C131:C194" si="6">A131&amp;":"&amp;B131</f>
        <v>9:135784017</v>
      </c>
      <c r="D131">
        <v>2</v>
      </c>
      <c r="E131" s="1">
        <v>1.1194029899999999E-2</v>
      </c>
      <c r="F131">
        <v>4</v>
      </c>
      <c r="G131">
        <v>2</v>
      </c>
      <c r="H131" s="4">
        <v>0</v>
      </c>
      <c r="I131">
        <v>13</v>
      </c>
      <c r="J131">
        <v>-1260</v>
      </c>
      <c r="K131">
        <v>0</v>
      </c>
      <c r="L131">
        <v>0</v>
      </c>
      <c r="M131">
        <v>0</v>
      </c>
      <c r="N131">
        <v>0</v>
      </c>
      <c r="O131" t="str">
        <f t="shared" ref="O131:O194" si="7">IF(D131=1,"A",IF(D131=2,"G",IF(D131=3,"C",IF(D131=4,"T","2NT"))))</f>
        <v>G</v>
      </c>
      <c r="P131" t="str">
        <f t="shared" ref="P131:P194" si="8">IF(F131=1,"A",IF(F131=2,"G",IF(F131=3,"C",IF(F131=4,"T","2NT"))))</f>
        <v>T</v>
      </c>
      <c r="Q131">
        <f>IF(M131=0,0,VLOOKUP(M131,'aa codes'!$A$1:'aa codes'!$B$21,2))</f>
        <v>0</v>
      </c>
      <c r="R131">
        <f>IF(N131=0,0,VLOOKUP(N131,'aa codes'!$A$1:'aa codes'!$B$21,2))</f>
        <v>0</v>
      </c>
      <c r="S131" s="1">
        <v>1.1194029899999999E-2</v>
      </c>
      <c r="T131" s="1">
        <v>5.3475935799999997E-3</v>
      </c>
    </row>
    <row r="132" spans="1:20">
      <c r="A132">
        <v>9</v>
      </c>
      <c r="B132">
        <v>135784035</v>
      </c>
      <c r="C132" t="str">
        <f t="shared" si="6"/>
        <v>9:135784035</v>
      </c>
      <c r="D132">
        <v>1</v>
      </c>
      <c r="E132" s="1">
        <v>1.3793103399999999E-2</v>
      </c>
      <c r="F132">
        <v>4</v>
      </c>
      <c r="G132">
        <v>2</v>
      </c>
      <c r="H132" s="4">
        <v>0</v>
      </c>
      <c r="I132">
        <v>13</v>
      </c>
      <c r="J132">
        <v>-1278</v>
      </c>
      <c r="K132">
        <v>0</v>
      </c>
      <c r="L132">
        <v>0</v>
      </c>
      <c r="M132">
        <v>0</v>
      </c>
      <c r="N132">
        <v>0</v>
      </c>
      <c r="O132" t="str">
        <f t="shared" si="7"/>
        <v>A</v>
      </c>
      <c r="P132" t="str">
        <f t="shared" si="8"/>
        <v>T</v>
      </c>
      <c r="Q132">
        <f>IF(M132=0,0,VLOOKUP(M132,'aa codes'!$A$1:'aa codes'!$B$21,2))</f>
        <v>0</v>
      </c>
      <c r="R132">
        <f>IF(N132=0,0,VLOOKUP(N132,'aa codes'!$A$1:'aa codes'!$B$21,2))</f>
        <v>0</v>
      </c>
      <c r="S132" s="1">
        <v>7.9744816599999994E-3</v>
      </c>
      <c r="T132" s="1">
        <v>1.3793103399999999E-2</v>
      </c>
    </row>
    <row r="133" spans="1:20">
      <c r="A133">
        <v>9</v>
      </c>
      <c r="B133">
        <v>135784169</v>
      </c>
      <c r="C133" t="str">
        <f t="shared" si="6"/>
        <v>9:135784169</v>
      </c>
      <c r="D133">
        <v>1</v>
      </c>
      <c r="E133" s="1">
        <v>0.51324503300000002</v>
      </c>
      <c r="F133">
        <v>3</v>
      </c>
      <c r="G133">
        <v>2</v>
      </c>
      <c r="H133" s="4">
        <v>0.42830000000000001</v>
      </c>
      <c r="I133">
        <v>13</v>
      </c>
      <c r="J133">
        <v>-1412</v>
      </c>
      <c r="K133">
        <v>0</v>
      </c>
      <c r="L133">
        <v>0</v>
      </c>
      <c r="M133">
        <v>0</v>
      </c>
      <c r="N133">
        <v>0</v>
      </c>
      <c r="O133" t="str">
        <f t="shared" si="7"/>
        <v>A</v>
      </c>
      <c r="P133" t="str">
        <f t="shared" si="8"/>
        <v>C</v>
      </c>
      <c r="Q133">
        <f>IF(M133=0,0,VLOOKUP(M133,'aa codes'!$A$1:'aa codes'!$B$21,2))</f>
        <v>0</v>
      </c>
      <c r="R133">
        <f>IF(N133=0,0,VLOOKUP(N133,'aa codes'!$A$1:'aa codes'!$B$21,2))</f>
        <v>0</v>
      </c>
      <c r="S133" s="1">
        <v>0.49590643299999998</v>
      </c>
      <c r="T133" s="1">
        <v>0.51324503300000002</v>
      </c>
    </row>
    <row r="134" spans="1:20">
      <c r="A134">
        <v>9</v>
      </c>
      <c r="B134">
        <v>135784262</v>
      </c>
      <c r="C134" t="str">
        <f t="shared" si="6"/>
        <v>9:135784262</v>
      </c>
      <c r="D134">
        <v>2</v>
      </c>
      <c r="E134" s="1">
        <v>6.3532401499999999E-3</v>
      </c>
      <c r="F134">
        <v>4</v>
      </c>
      <c r="G134">
        <v>1</v>
      </c>
      <c r="H134" s="4">
        <v>0</v>
      </c>
      <c r="I134">
        <v>13</v>
      </c>
      <c r="J134">
        <v>-1505</v>
      </c>
      <c r="K134">
        <v>0</v>
      </c>
      <c r="L134">
        <v>0</v>
      </c>
      <c r="M134">
        <v>0</v>
      </c>
      <c r="N134">
        <v>0</v>
      </c>
      <c r="O134" t="str">
        <f t="shared" si="7"/>
        <v>G</v>
      </c>
      <c r="P134" t="str">
        <f t="shared" si="8"/>
        <v>T</v>
      </c>
      <c r="Q134">
        <f>IF(M134=0,0,VLOOKUP(M134,'aa codes'!$A$1:'aa codes'!$B$21,2))</f>
        <v>0</v>
      </c>
      <c r="R134">
        <f>IF(N134=0,0,VLOOKUP(N134,'aa codes'!$A$1:'aa codes'!$B$21,2))</f>
        <v>0</v>
      </c>
      <c r="S134" s="1">
        <v>6.3532401499999999E-3</v>
      </c>
      <c r="T134" s="1">
        <v>3.86100386E-3</v>
      </c>
    </row>
    <row r="135" spans="1:20">
      <c r="A135">
        <v>9</v>
      </c>
      <c r="B135">
        <v>135784285</v>
      </c>
      <c r="C135" t="str">
        <f t="shared" si="6"/>
        <v>9:135784285</v>
      </c>
      <c r="D135">
        <v>2</v>
      </c>
      <c r="E135" s="1">
        <v>6.9930069899999999E-3</v>
      </c>
      <c r="F135">
        <v>4</v>
      </c>
      <c r="G135">
        <v>1</v>
      </c>
      <c r="H135" s="4">
        <v>0</v>
      </c>
      <c r="I135">
        <v>13</v>
      </c>
      <c r="J135">
        <v>-1528</v>
      </c>
      <c r="K135">
        <v>0</v>
      </c>
      <c r="L135">
        <v>0</v>
      </c>
      <c r="M135">
        <v>0</v>
      </c>
      <c r="N135">
        <v>0</v>
      </c>
      <c r="O135" t="str">
        <f t="shared" si="7"/>
        <v>G</v>
      </c>
      <c r="P135" t="str">
        <f t="shared" si="8"/>
        <v>T</v>
      </c>
      <c r="Q135">
        <f>IF(M135=0,0,VLOOKUP(M135,'aa codes'!$A$1:'aa codes'!$B$21,2))</f>
        <v>0</v>
      </c>
      <c r="R135">
        <f>IF(N135=0,0,VLOOKUP(N135,'aa codes'!$A$1:'aa codes'!$B$21,2))</f>
        <v>0</v>
      </c>
      <c r="S135" s="1">
        <v>4.7468354399999996E-3</v>
      </c>
      <c r="T135" s="1">
        <v>6.9930069899999999E-3</v>
      </c>
    </row>
    <row r="136" spans="1:20">
      <c r="A136">
        <v>9</v>
      </c>
      <c r="B136">
        <v>135784288</v>
      </c>
      <c r="C136" t="str">
        <f t="shared" si="6"/>
        <v>9:135784288</v>
      </c>
      <c r="D136">
        <v>3</v>
      </c>
      <c r="E136" s="1">
        <v>1.3170272800000001E-2</v>
      </c>
      <c r="F136">
        <v>4</v>
      </c>
      <c r="G136">
        <v>1</v>
      </c>
      <c r="H136" s="4">
        <v>0</v>
      </c>
      <c r="I136">
        <v>13</v>
      </c>
      <c r="J136">
        <v>-1531</v>
      </c>
      <c r="K136">
        <v>0</v>
      </c>
      <c r="L136">
        <v>0</v>
      </c>
      <c r="M136">
        <v>0</v>
      </c>
      <c r="N136">
        <v>0</v>
      </c>
      <c r="O136" t="str">
        <f t="shared" si="7"/>
        <v>C</v>
      </c>
      <c r="P136" t="str">
        <f t="shared" si="8"/>
        <v>T</v>
      </c>
      <c r="Q136">
        <f>IF(M136=0,0,VLOOKUP(M136,'aa codes'!$A$1:'aa codes'!$B$21,2))</f>
        <v>0</v>
      </c>
      <c r="R136">
        <f>IF(N136=0,0,VLOOKUP(N136,'aa codes'!$A$1:'aa codes'!$B$21,2))</f>
        <v>0</v>
      </c>
      <c r="S136" s="1">
        <v>1.3170272800000001E-2</v>
      </c>
      <c r="T136" s="1">
        <v>4.1551246499999996E-3</v>
      </c>
    </row>
    <row r="137" spans="1:20">
      <c r="A137">
        <v>9</v>
      </c>
      <c r="B137">
        <v>135784289</v>
      </c>
      <c r="C137" t="str">
        <f t="shared" si="6"/>
        <v>9:135784289</v>
      </c>
      <c r="D137">
        <v>4</v>
      </c>
      <c r="E137" s="1">
        <v>7.0921985800000004E-3</v>
      </c>
      <c r="F137">
        <v>3</v>
      </c>
      <c r="G137">
        <v>2</v>
      </c>
      <c r="H137" s="4">
        <v>0</v>
      </c>
      <c r="I137">
        <v>13</v>
      </c>
      <c r="J137">
        <v>-1532</v>
      </c>
      <c r="K137">
        <v>0</v>
      </c>
      <c r="L137">
        <v>0</v>
      </c>
      <c r="M137">
        <v>0</v>
      </c>
      <c r="N137">
        <v>0</v>
      </c>
      <c r="O137" t="str">
        <f t="shared" si="7"/>
        <v>T</v>
      </c>
      <c r="P137" t="str">
        <f t="shared" si="8"/>
        <v>C</v>
      </c>
      <c r="Q137">
        <f>IF(M137=0,0,VLOOKUP(M137,'aa codes'!$A$1:'aa codes'!$B$21,2))</f>
        <v>0</v>
      </c>
      <c r="R137">
        <f>IF(N137=0,0,VLOOKUP(N137,'aa codes'!$A$1:'aa codes'!$B$21,2))</f>
        <v>0</v>
      </c>
      <c r="S137" s="1">
        <v>6.4205457500000002E-3</v>
      </c>
      <c r="T137" s="1">
        <v>7.0921985800000004E-3</v>
      </c>
    </row>
    <row r="138" spans="1:20">
      <c r="A138">
        <v>9</v>
      </c>
      <c r="B138">
        <v>135784303</v>
      </c>
      <c r="C138" t="str">
        <f t="shared" si="6"/>
        <v>9:135784303</v>
      </c>
      <c r="D138">
        <v>4</v>
      </c>
      <c r="E138" s="1">
        <v>5.5045871600000002E-3</v>
      </c>
      <c r="F138">
        <v>2</v>
      </c>
      <c r="G138">
        <v>1</v>
      </c>
      <c r="H138" s="4">
        <v>0</v>
      </c>
      <c r="I138">
        <v>13</v>
      </c>
      <c r="J138">
        <v>-1546</v>
      </c>
      <c r="K138">
        <v>0</v>
      </c>
      <c r="L138">
        <v>0</v>
      </c>
      <c r="M138">
        <v>0</v>
      </c>
      <c r="N138">
        <v>0</v>
      </c>
      <c r="O138" t="str">
        <f t="shared" si="7"/>
        <v>T</v>
      </c>
      <c r="P138" t="str">
        <f t="shared" si="8"/>
        <v>G</v>
      </c>
      <c r="Q138">
        <f>IF(M138=0,0,VLOOKUP(M138,'aa codes'!$A$1:'aa codes'!$B$21,2))</f>
        <v>0</v>
      </c>
      <c r="R138">
        <f>IF(N138=0,0,VLOOKUP(N138,'aa codes'!$A$1:'aa codes'!$B$21,2))</f>
        <v>0</v>
      </c>
      <c r="S138" s="1">
        <v>0</v>
      </c>
      <c r="T138" s="1">
        <v>5.5045871600000002E-3</v>
      </c>
    </row>
    <row r="139" spans="1:20">
      <c r="A139">
        <v>9</v>
      </c>
      <c r="B139">
        <v>135784304</v>
      </c>
      <c r="C139" t="str">
        <f t="shared" si="6"/>
        <v>9:135784304</v>
      </c>
      <c r="D139">
        <v>4</v>
      </c>
      <c r="E139" s="1">
        <v>1.49253731E-2</v>
      </c>
      <c r="F139">
        <v>2</v>
      </c>
      <c r="G139">
        <v>2</v>
      </c>
      <c r="H139" s="4">
        <v>0</v>
      </c>
      <c r="I139">
        <v>13</v>
      </c>
      <c r="J139">
        <v>-1547</v>
      </c>
      <c r="K139">
        <v>0</v>
      </c>
      <c r="L139">
        <v>0</v>
      </c>
      <c r="M139">
        <v>0</v>
      </c>
      <c r="N139">
        <v>0</v>
      </c>
      <c r="O139" t="str">
        <f t="shared" si="7"/>
        <v>T</v>
      </c>
      <c r="P139" t="str">
        <f t="shared" si="8"/>
        <v>G</v>
      </c>
      <c r="Q139">
        <f>IF(M139=0,0,VLOOKUP(M139,'aa codes'!$A$1:'aa codes'!$B$21,2))</f>
        <v>0</v>
      </c>
      <c r="R139">
        <f>IF(N139=0,0,VLOOKUP(N139,'aa codes'!$A$1:'aa codes'!$B$21,2))</f>
        <v>0</v>
      </c>
      <c r="S139" s="1">
        <v>5.5944055899999996E-3</v>
      </c>
      <c r="T139" s="1">
        <v>1.49253731E-2</v>
      </c>
    </row>
    <row r="140" spans="1:20">
      <c r="A140">
        <v>9</v>
      </c>
      <c r="B140">
        <v>135784305</v>
      </c>
      <c r="C140" t="str">
        <f t="shared" si="6"/>
        <v>9:135784305</v>
      </c>
      <c r="D140">
        <v>4</v>
      </c>
      <c r="E140" s="1">
        <v>3.5580524299999999E-2</v>
      </c>
      <c r="F140">
        <v>2</v>
      </c>
      <c r="G140">
        <v>2</v>
      </c>
      <c r="H140" s="4">
        <v>0</v>
      </c>
      <c r="I140">
        <v>13</v>
      </c>
      <c r="J140">
        <v>-1548</v>
      </c>
      <c r="K140">
        <v>0</v>
      </c>
      <c r="L140">
        <v>0</v>
      </c>
      <c r="M140">
        <v>0</v>
      </c>
      <c r="N140">
        <v>0</v>
      </c>
      <c r="O140" t="str">
        <f t="shared" si="7"/>
        <v>T</v>
      </c>
      <c r="P140" t="str">
        <f t="shared" si="8"/>
        <v>G</v>
      </c>
      <c r="Q140">
        <f>IF(M140=0,0,VLOOKUP(M140,'aa codes'!$A$1:'aa codes'!$B$21,2))</f>
        <v>0</v>
      </c>
      <c r="R140">
        <f>IF(N140=0,0,VLOOKUP(N140,'aa codes'!$A$1:'aa codes'!$B$21,2))</f>
        <v>0</v>
      </c>
      <c r="S140" s="1">
        <v>1.12359551E-2</v>
      </c>
      <c r="T140" s="1">
        <v>3.5580524299999999E-2</v>
      </c>
    </row>
    <row r="141" spans="1:20">
      <c r="A141">
        <v>9</v>
      </c>
      <c r="B141">
        <v>135784306</v>
      </c>
      <c r="C141" t="str">
        <f t="shared" si="6"/>
        <v>9:135784306</v>
      </c>
      <c r="D141">
        <v>2</v>
      </c>
      <c r="E141" s="1">
        <v>5.20094563E-2</v>
      </c>
      <c r="F141">
        <v>4</v>
      </c>
      <c r="G141">
        <v>2</v>
      </c>
      <c r="H141" s="4">
        <v>0</v>
      </c>
      <c r="I141">
        <v>13</v>
      </c>
      <c r="J141">
        <v>-1549</v>
      </c>
      <c r="K141">
        <v>0</v>
      </c>
      <c r="L141">
        <v>0</v>
      </c>
      <c r="M141">
        <v>0</v>
      </c>
      <c r="N141">
        <v>0</v>
      </c>
      <c r="O141" t="str">
        <f t="shared" si="7"/>
        <v>G</v>
      </c>
      <c r="P141" t="str">
        <f t="shared" si="8"/>
        <v>T</v>
      </c>
      <c r="Q141">
        <f>IF(M141=0,0,VLOOKUP(M141,'aa codes'!$A$1:'aa codes'!$B$21,2))</f>
        <v>0</v>
      </c>
      <c r="R141">
        <f>IF(N141=0,0,VLOOKUP(N141,'aa codes'!$A$1:'aa codes'!$B$21,2))</f>
        <v>0</v>
      </c>
      <c r="S141" s="1">
        <v>4.0209790199999998E-2</v>
      </c>
      <c r="T141" s="1">
        <v>5.20094563E-2</v>
      </c>
    </row>
    <row r="142" spans="1:20">
      <c r="A142">
        <v>9</v>
      </c>
      <c r="B142">
        <v>135784307</v>
      </c>
      <c r="C142" t="str">
        <f t="shared" si="6"/>
        <v>9:135784307</v>
      </c>
      <c r="D142">
        <v>4</v>
      </c>
      <c r="E142" s="1">
        <v>1.75438596E-2</v>
      </c>
      <c r="F142">
        <v>2</v>
      </c>
      <c r="G142">
        <v>1</v>
      </c>
      <c r="H142" s="4">
        <v>0</v>
      </c>
      <c r="I142">
        <v>13</v>
      </c>
      <c r="J142">
        <v>-1550</v>
      </c>
      <c r="K142">
        <v>0</v>
      </c>
      <c r="L142">
        <v>0</v>
      </c>
      <c r="M142">
        <v>0</v>
      </c>
      <c r="N142">
        <v>0</v>
      </c>
      <c r="O142" t="str">
        <f t="shared" si="7"/>
        <v>T</v>
      </c>
      <c r="P142" t="str">
        <f t="shared" si="8"/>
        <v>G</v>
      </c>
      <c r="Q142">
        <f>IF(M142=0,0,VLOOKUP(M142,'aa codes'!$A$1:'aa codes'!$B$21,2))</f>
        <v>0</v>
      </c>
      <c r="R142">
        <f>IF(N142=0,0,VLOOKUP(N142,'aa codes'!$A$1:'aa codes'!$B$21,2))</f>
        <v>0</v>
      </c>
      <c r="S142" s="1">
        <v>3.1347962399999999E-3</v>
      </c>
      <c r="T142" s="1">
        <v>1.75438596E-2</v>
      </c>
    </row>
    <row r="143" spans="1:20">
      <c r="A143">
        <v>9</v>
      </c>
      <c r="B143">
        <v>135784309</v>
      </c>
      <c r="C143" t="str">
        <f t="shared" si="6"/>
        <v>9:135784309</v>
      </c>
      <c r="D143">
        <v>1</v>
      </c>
      <c r="E143" s="1">
        <v>1.43884892E-2</v>
      </c>
      <c r="F143">
        <v>4</v>
      </c>
      <c r="G143">
        <v>2</v>
      </c>
      <c r="H143" s="4">
        <v>0</v>
      </c>
      <c r="I143">
        <v>13</v>
      </c>
      <c r="J143">
        <v>-1552</v>
      </c>
      <c r="K143">
        <v>0</v>
      </c>
      <c r="L143">
        <v>0</v>
      </c>
      <c r="M143">
        <v>0</v>
      </c>
      <c r="N143">
        <v>0</v>
      </c>
      <c r="O143" t="str">
        <f t="shared" si="7"/>
        <v>A</v>
      </c>
      <c r="P143" t="str">
        <f t="shared" si="8"/>
        <v>T</v>
      </c>
      <c r="Q143">
        <f>IF(M143=0,0,VLOOKUP(M143,'aa codes'!$A$1:'aa codes'!$B$21,2))</f>
        <v>0</v>
      </c>
      <c r="R143">
        <f>IF(N143=0,0,VLOOKUP(N143,'aa codes'!$A$1:'aa codes'!$B$21,2))</f>
        <v>0</v>
      </c>
      <c r="S143" s="1">
        <v>9.3896713600000008E-3</v>
      </c>
      <c r="T143" s="1">
        <v>1.43884892E-2</v>
      </c>
    </row>
    <row r="144" spans="1:20">
      <c r="A144">
        <v>9</v>
      </c>
      <c r="B144">
        <v>135784311</v>
      </c>
      <c r="C144" t="str">
        <f t="shared" si="6"/>
        <v>9:135784311</v>
      </c>
      <c r="D144">
        <v>1</v>
      </c>
      <c r="E144" s="1">
        <v>1.2224938899999999E-2</v>
      </c>
      <c r="F144">
        <v>4</v>
      </c>
      <c r="G144">
        <v>1</v>
      </c>
      <c r="H144" s="4">
        <v>0</v>
      </c>
      <c r="I144">
        <v>13</v>
      </c>
      <c r="J144">
        <v>-1554</v>
      </c>
      <c r="K144">
        <v>0</v>
      </c>
      <c r="L144">
        <v>0</v>
      </c>
      <c r="M144">
        <v>0</v>
      </c>
      <c r="N144">
        <v>0</v>
      </c>
      <c r="O144" t="str">
        <f t="shared" si="7"/>
        <v>A</v>
      </c>
      <c r="P144" t="str">
        <f t="shared" si="8"/>
        <v>T</v>
      </c>
      <c r="Q144">
        <f>IF(M144=0,0,VLOOKUP(M144,'aa codes'!$A$1:'aa codes'!$B$21,2))</f>
        <v>0</v>
      </c>
      <c r="R144">
        <f>IF(N144=0,0,VLOOKUP(N144,'aa codes'!$A$1:'aa codes'!$B$21,2))</f>
        <v>0</v>
      </c>
      <c r="S144" s="1">
        <v>1.53374233E-3</v>
      </c>
      <c r="T144" s="1">
        <v>1.2224938899999999E-2</v>
      </c>
    </row>
    <row r="145" spans="1:20">
      <c r="A145">
        <v>9</v>
      </c>
      <c r="B145">
        <v>135784317</v>
      </c>
      <c r="C145" t="str">
        <f t="shared" si="6"/>
        <v>9:135784317</v>
      </c>
      <c r="D145">
        <v>2</v>
      </c>
      <c r="E145" s="1">
        <v>5.2493438300000002E-3</v>
      </c>
      <c r="F145">
        <v>4</v>
      </c>
      <c r="G145">
        <v>1</v>
      </c>
      <c r="H145" s="4">
        <v>0</v>
      </c>
      <c r="I145">
        <v>13</v>
      </c>
      <c r="J145">
        <v>-1560</v>
      </c>
      <c r="K145">
        <v>0</v>
      </c>
      <c r="L145">
        <v>0</v>
      </c>
      <c r="M145">
        <v>0</v>
      </c>
      <c r="N145">
        <v>0</v>
      </c>
      <c r="O145" t="str">
        <f t="shared" si="7"/>
        <v>G</v>
      </c>
      <c r="P145" t="str">
        <f t="shared" si="8"/>
        <v>T</v>
      </c>
      <c r="Q145">
        <f>IF(M145=0,0,VLOOKUP(M145,'aa codes'!$A$1:'aa codes'!$B$21,2))</f>
        <v>0</v>
      </c>
      <c r="R145">
        <f>IF(N145=0,0,VLOOKUP(N145,'aa codes'!$A$1:'aa codes'!$B$21,2))</f>
        <v>0</v>
      </c>
      <c r="S145" s="1">
        <v>0</v>
      </c>
      <c r="T145" s="1">
        <v>5.2493438300000002E-3</v>
      </c>
    </row>
    <row r="146" spans="1:20">
      <c r="A146">
        <v>9</v>
      </c>
      <c r="B146">
        <v>135784362</v>
      </c>
      <c r="C146" t="str">
        <f t="shared" si="6"/>
        <v>9:135784362</v>
      </c>
      <c r="D146">
        <v>1</v>
      </c>
      <c r="E146" s="1">
        <v>7.0671378099999996E-3</v>
      </c>
      <c r="F146">
        <v>2</v>
      </c>
      <c r="G146">
        <v>1</v>
      </c>
      <c r="H146" s="4">
        <v>0</v>
      </c>
      <c r="I146">
        <v>12</v>
      </c>
      <c r="J146">
        <v>1596</v>
      </c>
      <c r="K146">
        <v>0</v>
      </c>
      <c r="L146">
        <v>0</v>
      </c>
      <c r="M146">
        <v>0</v>
      </c>
      <c r="N146">
        <v>0</v>
      </c>
      <c r="O146" t="str">
        <f t="shared" si="7"/>
        <v>A</v>
      </c>
      <c r="P146" t="str">
        <f t="shared" si="8"/>
        <v>G</v>
      </c>
      <c r="Q146">
        <f>IF(M146=0,0,VLOOKUP(M146,'aa codes'!$A$1:'aa codes'!$B$21,2))</f>
        <v>0</v>
      </c>
      <c r="R146">
        <f>IF(N146=0,0,VLOOKUP(N146,'aa codes'!$A$1:'aa codes'!$B$21,2))</f>
        <v>0</v>
      </c>
      <c r="S146" s="1">
        <v>1.9762845799999999E-3</v>
      </c>
      <c r="T146" s="1">
        <v>7.0671378099999996E-3</v>
      </c>
    </row>
    <row r="147" spans="1:20">
      <c r="A147">
        <v>9</v>
      </c>
      <c r="B147">
        <v>135784365</v>
      </c>
      <c r="C147" t="str">
        <f t="shared" si="6"/>
        <v>9:135784365</v>
      </c>
      <c r="D147">
        <v>4</v>
      </c>
      <c r="E147" s="1">
        <v>7.1942446E-3</v>
      </c>
      <c r="F147">
        <v>3</v>
      </c>
      <c r="G147">
        <v>1</v>
      </c>
      <c r="H147" s="4">
        <v>0</v>
      </c>
      <c r="I147">
        <v>12</v>
      </c>
      <c r="J147">
        <v>1593</v>
      </c>
      <c r="K147">
        <v>0</v>
      </c>
      <c r="L147">
        <v>0</v>
      </c>
      <c r="M147">
        <v>0</v>
      </c>
      <c r="N147">
        <v>0</v>
      </c>
      <c r="O147" t="str">
        <f t="shared" si="7"/>
        <v>T</v>
      </c>
      <c r="P147" t="str">
        <f t="shared" si="8"/>
        <v>C</v>
      </c>
      <c r="Q147">
        <f>IF(M147=0,0,VLOOKUP(M147,'aa codes'!$A$1:'aa codes'!$B$21,2))</f>
        <v>0</v>
      </c>
      <c r="R147">
        <f>IF(N147=0,0,VLOOKUP(N147,'aa codes'!$A$1:'aa codes'!$B$21,2))</f>
        <v>0</v>
      </c>
      <c r="S147" s="1">
        <v>1.94931774E-3</v>
      </c>
      <c r="T147" s="1">
        <v>7.1942446E-3</v>
      </c>
    </row>
    <row r="148" spans="1:20">
      <c r="A148">
        <v>9</v>
      </c>
      <c r="B148">
        <v>135784372</v>
      </c>
      <c r="C148" t="str">
        <f t="shared" si="6"/>
        <v>9:135784372</v>
      </c>
      <c r="D148">
        <v>1</v>
      </c>
      <c r="E148" s="1">
        <v>7.3800738000000003E-3</v>
      </c>
      <c r="F148">
        <v>2</v>
      </c>
      <c r="G148">
        <v>1</v>
      </c>
      <c r="H148" s="4">
        <v>0</v>
      </c>
      <c r="I148">
        <v>12</v>
      </c>
      <c r="J148">
        <v>1586</v>
      </c>
      <c r="K148">
        <v>0</v>
      </c>
      <c r="L148">
        <v>0</v>
      </c>
      <c r="M148">
        <v>0</v>
      </c>
      <c r="N148">
        <v>0</v>
      </c>
      <c r="O148" t="str">
        <f t="shared" si="7"/>
        <v>A</v>
      </c>
      <c r="P148" t="str">
        <f t="shared" si="8"/>
        <v>G</v>
      </c>
      <c r="Q148">
        <f>IF(M148=0,0,VLOOKUP(M148,'aa codes'!$A$1:'aa codes'!$B$21,2))</f>
        <v>0</v>
      </c>
      <c r="R148">
        <f>IF(N148=0,0,VLOOKUP(N148,'aa codes'!$A$1:'aa codes'!$B$21,2))</f>
        <v>0</v>
      </c>
      <c r="S148" s="1">
        <v>1.98807157E-3</v>
      </c>
      <c r="T148" s="1">
        <v>7.3800738000000003E-3</v>
      </c>
    </row>
    <row r="149" spans="1:20">
      <c r="A149">
        <v>9</v>
      </c>
      <c r="B149">
        <v>135785503</v>
      </c>
      <c r="C149" t="str">
        <f t="shared" si="6"/>
        <v>9:135785503</v>
      </c>
      <c r="D149">
        <v>4</v>
      </c>
      <c r="E149" s="1">
        <v>6.6115702499999996E-3</v>
      </c>
      <c r="F149">
        <v>2</v>
      </c>
      <c r="G149">
        <v>1</v>
      </c>
      <c r="H149" s="4">
        <v>0</v>
      </c>
      <c r="I149">
        <v>12</v>
      </c>
      <c r="J149">
        <v>455</v>
      </c>
      <c r="K149">
        <v>0</v>
      </c>
      <c r="L149">
        <v>0</v>
      </c>
      <c r="M149">
        <v>0</v>
      </c>
      <c r="N149">
        <v>0</v>
      </c>
      <c r="O149" t="str">
        <f t="shared" si="7"/>
        <v>T</v>
      </c>
      <c r="P149" t="str">
        <f t="shared" si="8"/>
        <v>G</v>
      </c>
      <c r="Q149">
        <f>IF(M149=0,0,VLOOKUP(M149,'aa codes'!$A$1:'aa codes'!$B$21,2))</f>
        <v>0</v>
      </c>
      <c r="R149">
        <f>IF(N149=0,0,VLOOKUP(N149,'aa codes'!$A$1:'aa codes'!$B$21,2))</f>
        <v>0</v>
      </c>
      <c r="S149" s="1">
        <v>6.6115702499999996E-3</v>
      </c>
      <c r="T149" s="1">
        <v>2.4691358000000002E-3</v>
      </c>
    </row>
    <row r="150" spans="1:20">
      <c r="A150">
        <v>9</v>
      </c>
      <c r="B150">
        <v>135785506</v>
      </c>
      <c r="C150" t="str">
        <f t="shared" si="6"/>
        <v>9:135785506</v>
      </c>
      <c r="D150">
        <v>4</v>
      </c>
      <c r="E150" s="1">
        <v>5.1457975999999999E-3</v>
      </c>
      <c r="F150">
        <v>3</v>
      </c>
      <c r="G150">
        <v>1</v>
      </c>
      <c r="H150" s="4">
        <v>0</v>
      </c>
      <c r="I150">
        <v>12</v>
      </c>
      <c r="J150">
        <v>452</v>
      </c>
      <c r="K150">
        <v>0</v>
      </c>
      <c r="L150">
        <v>0</v>
      </c>
      <c r="M150">
        <v>0</v>
      </c>
      <c r="N150">
        <v>0</v>
      </c>
      <c r="O150" t="str">
        <f t="shared" si="7"/>
        <v>T</v>
      </c>
      <c r="P150" t="str">
        <f t="shared" si="8"/>
        <v>C</v>
      </c>
      <c r="Q150">
        <f>IF(M150=0,0,VLOOKUP(M150,'aa codes'!$A$1:'aa codes'!$B$21,2))</f>
        <v>0</v>
      </c>
      <c r="R150">
        <f>IF(N150=0,0,VLOOKUP(N150,'aa codes'!$A$1:'aa codes'!$B$21,2))</f>
        <v>0</v>
      </c>
      <c r="S150" s="1">
        <v>5.1457975999999999E-3</v>
      </c>
      <c r="T150" s="1">
        <v>2.4154589399999998E-3</v>
      </c>
    </row>
    <row r="151" spans="1:20">
      <c r="A151">
        <v>9</v>
      </c>
      <c r="B151">
        <v>135785507</v>
      </c>
      <c r="C151" t="str">
        <f t="shared" si="6"/>
        <v>9:135785507</v>
      </c>
      <c r="D151">
        <v>2</v>
      </c>
      <c r="E151" s="1">
        <v>6.54664484E-3</v>
      </c>
      <c r="F151">
        <v>1</v>
      </c>
      <c r="G151">
        <v>1</v>
      </c>
      <c r="H151" s="4">
        <v>0</v>
      </c>
      <c r="I151">
        <v>12</v>
      </c>
      <c r="J151">
        <v>451</v>
      </c>
      <c r="K151">
        <v>0</v>
      </c>
      <c r="L151">
        <v>0</v>
      </c>
      <c r="M151">
        <v>0</v>
      </c>
      <c r="N151">
        <v>0</v>
      </c>
      <c r="O151" t="str">
        <f t="shared" si="7"/>
        <v>G</v>
      </c>
      <c r="P151" t="str">
        <f t="shared" si="8"/>
        <v>A</v>
      </c>
      <c r="Q151">
        <f>IF(M151=0,0,VLOOKUP(M151,'aa codes'!$A$1:'aa codes'!$B$21,2))</f>
        <v>0</v>
      </c>
      <c r="R151">
        <f>IF(N151=0,0,VLOOKUP(N151,'aa codes'!$A$1:'aa codes'!$B$21,2))</f>
        <v>0</v>
      </c>
      <c r="S151" s="1">
        <v>6.54664484E-3</v>
      </c>
      <c r="T151" s="1">
        <v>4.6838407500000004E-3</v>
      </c>
    </row>
    <row r="152" spans="1:20">
      <c r="A152">
        <v>9</v>
      </c>
      <c r="B152">
        <v>135785513</v>
      </c>
      <c r="C152" t="str">
        <f t="shared" si="6"/>
        <v>9:135785513</v>
      </c>
      <c r="D152">
        <v>4</v>
      </c>
      <c r="E152" s="1">
        <v>5.2910052900000002E-3</v>
      </c>
      <c r="F152">
        <v>3</v>
      </c>
      <c r="G152">
        <v>1</v>
      </c>
      <c r="H152" s="4">
        <v>0</v>
      </c>
      <c r="I152">
        <v>12</v>
      </c>
      <c r="J152">
        <v>445</v>
      </c>
      <c r="K152">
        <v>0</v>
      </c>
      <c r="L152">
        <v>0</v>
      </c>
      <c r="M152">
        <v>0</v>
      </c>
      <c r="N152">
        <v>0</v>
      </c>
      <c r="O152" t="str">
        <f t="shared" si="7"/>
        <v>T</v>
      </c>
      <c r="P152" t="str">
        <f t="shared" si="8"/>
        <v>C</v>
      </c>
      <c r="Q152">
        <f>IF(M152=0,0,VLOOKUP(M152,'aa codes'!$A$1:'aa codes'!$B$21,2))</f>
        <v>0</v>
      </c>
      <c r="R152">
        <f>IF(N152=0,0,VLOOKUP(N152,'aa codes'!$A$1:'aa codes'!$B$21,2))</f>
        <v>0</v>
      </c>
      <c r="S152" s="1">
        <v>5.2910052900000002E-3</v>
      </c>
      <c r="T152" s="1">
        <v>2.5125628100000001E-3</v>
      </c>
    </row>
    <row r="153" spans="1:20">
      <c r="A153">
        <v>9</v>
      </c>
      <c r="B153">
        <v>135785515</v>
      </c>
      <c r="C153" t="str">
        <f t="shared" si="6"/>
        <v>9:135785515</v>
      </c>
      <c r="D153">
        <v>1</v>
      </c>
      <c r="E153" s="1">
        <v>5.0335570499999999E-3</v>
      </c>
      <c r="F153">
        <v>2</v>
      </c>
      <c r="G153">
        <v>1</v>
      </c>
      <c r="H153" s="4">
        <v>0</v>
      </c>
      <c r="I153">
        <v>12</v>
      </c>
      <c r="J153">
        <v>443</v>
      </c>
      <c r="K153">
        <v>0</v>
      </c>
      <c r="L153">
        <v>0</v>
      </c>
      <c r="M153">
        <v>0</v>
      </c>
      <c r="N153">
        <v>0</v>
      </c>
      <c r="O153" t="str">
        <f t="shared" si="7"/>
        <v>A</v>
      </c>
      <c r="P153" t="str">
        <f t="shared" si="8"/>
        <v>G</v>
      </c>
      <c r="Q153">
        <f>IF(M153=0,0,VLOOKUP(M153,'aa codes'!$A$1:'aa codes'!$B$21,2))</f>
        <v>0</v>
      </c>
      <c r="R153">
        <f>IF(N153=0,0,VLOOKUP(N153,'aa codes'!$A$1:'aa codes'!$B$21,2))</f>
        <v>0</v>
      </c>
      <c r="S153" s="1">
        <v>5.0335570499999999E-3</v>
      </c>
      <c r="T153" s="1">
        <v>2.3923445E-3</v>
      </c>
    </row>
    <row r="154" spans="1:20">
      <c r="A154">
        <v>9</v>
      </c>
      <c r="B154">
        <v>135785521</v>
      </c>
      <c r="C154" t="str">
        <f t="shared" si="6"/>
        <v>9:135785521</v>
      </c>
      <c r="D154">
        <v>1</v>
      </c>
      <c r="E154" s="1">
        <v>1.3698630099999999E-2</v>
      </c>
      <c r="F154">
        <v>3</v>
      </c>
      <c r="G154">
        <v>1</v>
      </c>
      <c r="H154" s="4">
        <v>0</v>
      </c>
      <c r="I154">
        <v>12</v>
      </c>
      <c r="J154">
        <v>437</v>
      </c>
      <c r="K154">
        <v>0</v>
      </c>
      <c r="L154">
        <v>0</v>
      </c>
      <c r="M154">
        <v>0</v>
      </c>
      <c r="N154">
        <v>0</v>
      </c>
      <c r="O154" t="str">
        <f t="shared" si="7"/>
        <v>A</v>
      </c>
      <c r="P154" t="str">
        <f t="shared" si="8"/>
        <v>C</v>
      </c>
      <c r="Q154">
        <f>IF(M154=0,0,VLOOKUP(M154,'aa codes'!$A$1:'aa codes'!$B$21,2))</f>
        <v>0</v>
      </c>
      <c r="R154">
        <f>IF(N154=0,0,VLOOKUP(N154,'aa codes'!$A$1:'aa codes'!$B$21,2))</f>
        <v>0</v>
      </c>
      <c r="S154" s="1">
        <v>3.5398230100000001E-3</v>
      </c>
      <c r="T154" s="1">
        <v>1.3698630099999999E-2</v>
      </c>
    </row>
    <row r="155" spans="1:20">
      <c r="A155">
        <v>9</v>
      </c>
      <c r="B155">
        <v>135785522</v>
      </c>
      <c r="C155" t="str">
        <f t="shared" si="6"/>
        <v>9:135785522</v>
      </c>
      <c r="D155">
        <v>3</v>
      </c>
      <c r="E155" s="1">
        <v>1.5845070400000001E-2</v>
      </c>
      <c r="F155">
        <v>1</v>
      </c>
      <c r="G155">
        <v>2</v>
      </c>
      <c r="H155" s="4">
        <v>0</v>
      </c>
      <c r="I155">
        <v>12</v>
      </c>
      <c r="J155">
        <v>436</v>
      </c>
      <c r="K155">
        <v>0</v>
      </c>
      <c r="L155">
        <v>0</v>
      </c>
      <c r="M155">
        <v>0</v>
      </c>
      <c r="N155">
        <v>0</v>
      </c>
      <c r="O155" t="str">
        <f t="shared" si="7"/>
        <v>C</v>
      </c>
      <c r="P155" t="str">
        <f t="shared" si="8"/>
        <v>A</v>
      </c>
      <c r="Q155">
        <f>IF(M155=0,0,VLOOKUP(M155,'aa codes'!$A$1:'aa codes'!$B$21,2))</f>
        <v>0</v>
      </c>
      <c r="R155">
        <f>IF(N155=0,0,VLOOKUP(N155,'aa codes'!$A$1:'aa codes'!$B$21,2))</f>
        <v>0</v>
      </c>
      <c r="S155" s="1">
        <v>1.5845070400000001E-2</v>
      </c>
      <c r="T155" s="1">
        <v>1.55902004E-2</v>
      </c>
    </row>
    <row r="156" spans="1:20">
      <c r="A156">
        <v>9</v>
      </c>
      <c r="B156">
        <v>135785523</v>
      </c>
      <c r="C156" t="str">
        <f t="shared" si="6"/>
        <v>9:135785523</v>
      </c>
      <c r="D156">
        <v>3</v>
      </c>
      <c r="E156" s="1">
        <v>2.3219814200000001E-2</v>
      </c>
      <c r="F156">
        <v>1</v>
      </c>
      <c r="G156">
        <v>2</v>
      </c>
      <c r="H156" s="4">
        <v>0</v>
      </c>
      <c r="I156">
        <v>12</v>
      </c>
      <c r="J156">
        <v>435</v>
      </c>
      <c r="K156">
        <v>0</v>
      </c>
      <c r="L156">
        <v>0</v>
      </c>
      <c r="M156">
        <v>0</v>
      </c>
      <c r="N156">
        <v>0</v>
      </c>
      <c r="O156" t="str">
        <f t="shared" si="7"/>
        <v>C</v>
      </c>
      <c r="P156" t="str">
        <f t="shared" si="8"/>
        <v>A</v>
      </c>
      <c r="Q156">
        <f>IF(M156=0,0,VLOOKUP(M156,'aa codes'!$A$1:'aa codes'!$B$21,2))</f>
        <v>0</v>
      </c>
      <c r="R156">
        <f>IF(N156=0,0,VLOOKUP(N156,'aa codes'!$A$1:'aa codes'!$B$21,2))</f>
        <v>0</v>
      </c>
      <c r="S156" s="1">
        <v>1.4814814799999999E-2</v>
      </c>
      <c r="T156" s="1">
        <v>2.3219814200000001E-2</v>
      </c>
    </row>
    <row r="157" spans="1:20">
      <c r="A157">
        <v>9</v>
      </c>
      <c r="B157">
        <v>135785524</v>
      </c>
      <c r="C157" t="str">
        <f t="shared" si="6"/>
        <v>9:135785524</v>
      </c>
      <c r="D157">
        <v>1</v>
      </c>
      <c r="E157" s="1">
        <v>1.45631068E-2</v>
      </c>
      <c r="F157">
        <v>3</v>
      </c>
      <c r="G157">
        <v>2</v>
      </c>
      <c r="H157" s="4">
        <v>0</v>
      </c>
      <c r="I157">
        <v>12</v>
      </c>
      <c r="J157">
        <v>434</v>
      </c>
      <c r="K157">
        <v>0</v>
      </c>
      <c r="L157">
        <v>0</v>
      </c>
      <c r="M157">
        <v>0</v>
      </c>
      <c r="N157">
        <v>0</v>
      </c>
      <c r="O157" t="str">
        <f t="shared" si="7"/>
        <v>A</v>
      </c>
      <c r="P157" t="str">
        <f t="shared" si="8"/>
        <v>C</v>
      </c>
      <c r="Q157">
        <f>IF(M157=0,0,VLOOKUP(M157,'aa codes'!$A$1:'aa codes'!$B$21,2))</f>
        <v>0</v>
      </c>
      <c r="R157">
        <f>IF(N157=0,0,VLOOKUP(N157,'aa codes'!$A$1:'aa codes'!$B$21,2))</f>
        <v>0</v>
      </c>
      <c r="S157" s="1">
        <v>1.1605415900000001E-2</v>
      </c>
      <c r="T157" s="1">
        <v>1.45631068E-2</v>
      </c>
    </row>
    <row r="158" spans="1:20">
      <c r="A158">
        <v>9</v>
      </c>
      <c r="B158">
        <v>135785537</v>
      </c>
      <c r="C158" t="str">
        <f t="shared" si="6"/>
        <v>9:135785537</v>
      </c>
      <c r="D158">
        <v>1</v>
      </c>
      <c r="E158" s="1">
        <v>8.7412587400000005E-3</v>
      </c>
      <c r="F158">
        <v>3</v>
      </c>
      <c r="G158">
        <v>1</v>
      </c>
      <c r="H158" s="4">
        <v>0</v>
      </c>
      <c r="I158">
        <v>12</v>
      </c>
      <c r="J158">
        <v>421</v>
      </c>
      <c r="K158">
        <v>0</v>
      </c>
      <c r="L158">
        <v>0</v>
      </c>
      <c r="M158">
        <v>0</v>
      </c>
      <c r="N158">
        <v>0</v>
      </c>
      <c r="O158" t="str">
        <f t="shared" si="7"/>
        <v>A</v>
      </c>
      <c r="P158" t="str">
        <f t="shared" si="8"/>
        <v>C</v>
      </c>
      <c r="Q158">
        <f>IF(M158=0,0,VLOOKUP(M158,'aa codes'!$A$1:'aa codes'!$B$21,2))</f>
        <v>0</v>
      </c>
      <c r="R158">
        <f>IF(N158=0,0,VLOOKUP(N158,'aa codes'!$A$1:'aa codes'!$B$21,2))</f>
        <v>0</v>
      </c>
      <c r="S158" s="1">
        <v>8.7412587400000005E-3</v>
      </c>
      <c r="T158" s="1">
        <v>2.25225225E-3</v>
      </c>
    </row>
    <row r="159" spans="1:20">
      <c r="A159">
        <v>9</v>
      </c>
      <c r="B159">
        <v>135785538</v>
      </c>
      <c r="C159" t="str">
        <f t="shared" si="6"/>
        <v>9:135785538</v>
      </c>
      <c r="D159">
        <v>3</v>
      </c>
      <c r="E159" s="1">
        <v>7.2859745000000004E-3</v>
      </c>
      <c r="F159">
        <v>4</v>
      </c>
      <c r="G159">
        <v>2</v>
      </c>
      <c r="H159" s="4">
        <v>0</v>
      </c>
      <c r="I159">
        <v>12</v>
      </c>
      <c r="J159">
        <v>420</v>
      </c>
      <c r="K159">
        <v>0</v>
      </c>
      <c r="L159">
        <v>0</v>
      </c>
      <c r="M159">
        <v>0</v>
      </c>
      <c r="N159">
        <v>0</v>
      </c>
      <c r="O159" t="str">
        <f t="shared" si="7"/>
        <v>C</v>
      </c>
      <c r="P159" t="str">
        <f t="shared" si="8"/>
        <v>T</v>
      </c>
      <c r="Q159">
        <f>IF(M159=0,0,VLOOKUP(M159,'aa codes'!$A$1:'aa codes'!$B$21,2))</f>
        <v>0</v>
      </c>
      <c r="R159">
        <f>IF(N159=0,0,VLOOKUP(N159,'aa codes'!$A$1:'aa codes'!$B$21,2))</f>
        <v>0</v>
      </c>
      <c r="S159" s="1">
        <v>7.2859745000000004E-3</v>
      </c>
      <c r="T159" s="1">
        <v>6.9444444400000001E-3</v>
      </c>
    </row>
    <row r="160" spans="1:20">
      <c r="A160">
        <v>9</v>
      </c>
      <c r="B160">
        <v>135785539</v>
      </c>
      <c r="C160" t="str">
        <f t="shared" si="6"/>
        <v>9:135785539</v>
      </c>
      <c r="D160">
        <v>4</v>
      </c>
      <c r="E160" s="1">
        <v>6.8965517199999996E-3</v>
      </c>
      <c r="F160">
        <v>3</v>
      </c>
      <c r="G160">
        <v>2</v>
      </c>
      <c r="H160" s="4">
        <v>0</v>
      </c>
      <c r="I160">
        <v>12</v>
      </c>
      <c r="J160">
        <v>419</v>
      </c>
      <c r="K160">
        <v>0</v>
      </c>
      <c r="L160">
        <v>0</v>
      </c>
      <c r="M160">
        <v>0</v>
      </c>
      <c r="N160">
        <v>0</v>
      </c>
      <c r="O160" t="str">
        <f t="shared" si="7"/>
        <v>T</v>
      </c>
      <c r="P160" t="str">
        <f t="shared" si="8"/>
        <v>C</v>
      </c>
      <c r="Q160">
        <f>IF(M160=0,0,VLOOKUP(M160,'aa codes'!$A$1:'aa codes'!$B$21,2))</f>
        <v>0</v>
      </c>
      <c r="R160">
        <f>IF(N160=0,0,VLOOKUP(N160,'aa codes'!$A$1:'aa codes'!$B$21,2))</f>
        <v>0</v>
      </c>
      <c r="S160" s="1">
        <v>5.2816901399999998E-3</v>
      </c>
      <c r="T160" s="1">
        <v>6.8965517199999996E-3</v>
      </c>
    </row>
    <row r="161" spans="1:20">
      <c r="A161">
        <v>9</v>
      </c>
      <c r="B161">
        <v>135785638</v>
      </c>
      <c r="C161" t="str">
        <f t="shared" si="6"/>
        <v>9:135785638</v>
      </c>
      <c r="D161">
        <v>4</v>
      </c>
      <c r="E161" s="1">
        <v>6.4239828699999999E-3</v>
      </c>
      <c r="F161">
        <v>1</v>
      </c>
      <c r="G161">
        <v>2</v>
      </c>
      <c r="H161" s="4">
        <v>0</v>
      </c>
      <c r="I161">
        <v>12</v>
      </c>
      <c r="J161">
        <v>320</v>
      </c>
      <c r="K161">
        <v>0</v>
      </c>
      <c r="L161">
        <v>0</v>
      </c>
      <c r="M161">
        <v>0</v>
      </c>
      <c r="N161">
        <v>0</v>
      </c>
      <c r="O161" t="str">
        <f t="shared" si="7"/>
        <v>T</v>
      </c>
      <c r="P161" t="str">
        <f t="shared" si="8"/>
        <v>A</v>
      </c>
      <c r="Q161">
        <f>IF(M161=0,0,VLOOKUP(M161,'aa codes'!$A$1:'aa codes'!$B$21,2))</f>
        <v>0</v>
      </c>
      <c r="R161">
        <f>IF(N161=0,0,VLOOKUP(N161,'aa codes'!$A$1:'aa codes'!$B$21,2))</f>
        <v>0</v>
      </c>
      <c r="S161" s="1">
        <v>6.4239828699999999E-3</v>
      </c>
      <c r="T161" s="1">
        <v>6.0240963899999998E-3</v>
      </c>
    </row>
    <row r="162" spans="1:20">
      <c r="A162">
        <v>9</v>
      </c>
      <c r="B162">
        <v>135785657</v>
      </c>
      <c r="C162" t="str">
        <f t="shared" si="6"/>
        <v>9:135785657</v>
      </c>
      <c r="D162">
        <v>3</v>
      </c>
      <c r="E162" s="1">
        <v>6.0790273600000002E-3</v>
      </c>
      <c r="F162">
        <v>2</v>
      </c>
      <c r="G162">
        <v>1</v>
      </c>
      <c r="H162" s="4">
        <v>0</v>
      </c>
      <c r="I162">
        <v>12</v>
      </c>
      <c r="J162">
        <v>301</v>
      </c>
      <c r="K162">
        <v>0</v>
      </c>
      <c r="L162">
        <v>0</v>
      </c>
      <c r="M162">
        <v>0</v>
      </c>
      <c r="N162">
        <v>0</v>
      </c>
      <c r="O162" t="str">
        <f t="shared" si="7"/>
        <v>C</v>
      </c>
      <c r="P162" t="str">
        <f t="shared" si="8"/>
        <v>G</v>
      </c>
      <c r="Q162">
        <f>IF(M162=0,0,VLOOKUP(M162,'aa codes'!$A$1:'aa codes'!$B$21,2))</f>
        <v>0</v>
      </c>
      <c r="R162">
        <f>IF(N162=0,0,VLOOKUP(N162,'aa codes'!$A$1:'aa codes'!$B$21,2))</f>
        <v>0</v>
      </c>
      <c r="S162" s="1">
        <v>0</v>
      </c>
      <c r="T162" s="1">
        <v>6.0790273600000002E-3</v>
      </c>
    </row>
    <row r="163" spans="1:20">
      <c r="A163">
        <v>9</v>
      </c>
      <c r="B163">
        <v>135785659</v>
      </c>
      <c r="C163" t="str">
        <f t="shared" si="6"/>
        <v>9:135785659</v>
      </c>
      <c r="D163">
        <v>3</v>
      </c>
      <c r="E163" s="1">
        <v>1.0438413400000001E-2</v>
      </c>
      <c r="F163">
        <v>2</v>
      </c>
      <c r="G163">
        <v>1</v>
      </c>
      <c r="H163" s="4">
        <v>0</v>
      </c>
      <c r="I163">
        <v>12</v>
      </c>
      <c r="J163">
        <v>299</v>
      </c>
      <c r="K163">
        <v>0</v>
      </c>
      <c r="L163">
        <v>0</v>
      </c>
      <c r="M163">
        <v>0</v>
      </c>
      <c r="N163">
        <v>0</v>
      </c>
      <c r="O163" t="str">
        <f t="shared" si="7"/>
        <v>C</v>
      </c>
      <c r="P163" t="str">
        <f t="shared" si="8"/>
        <v>G</v>
      </c>
      <c r="Q163">
        <f>IF(M163=0,0,VLOOKUP(M163,'aa codes'!$A$1:'aa codes'!$B$21,2))</f>
        <v>0</v>
      </c>
      <c r="R163">
        <f>IF(N163=0,0,VLOOKUP(N163,'aa codes'!$A$1:'aa codes'!$B$21,2))</f>
        <v>0</v>
      </c>
      <c r="S163" s="1">
        <v>1.0438413400000001E-2</v>
      </c>
      <c r="T163" s="1">
        <v>0</v>
      </c>
    </row>
    <row r="164" spans="1:20">
      <c r="A164">
        <v>9</v>
      </c>
      <c r="B164">
        <v>135785671</v>
      </c>
      <c r="C164" t="str">
        <f t="shared" si="6"/>
        <v>9:135785671</v>
      </c>
      <c r="D164">
        <v>2</v>
      </c>
      <c r="E164" s="1">
        <v>6.7796610200000001E-3</v>
      </c>
      <c r="F164">
        <v>1</v>
      </c>
      <c r="G164">
        <v>2</v>
      </c>
      <c r="H164" s="4">
        <v>0</v>
      </c>
      <c r="I164">
        <v>12</v>
      </c>
      <c r="J164">
        <v>287</v>
      </c>
      <c r="K164">
        <v>0</v>
      </c>
      <c r="L164">
        <v>0</v>
      </c>
      <c r="M164">
        <v>0</v>
      </c>
      <c r="N164">
        <v>0</v>
      </c>
      <c r="O164" t="str">
        <f t="shared" si="7"/>
        <v>G</v>
      </c>
      <c r="P164" t="str">
        <f t="shared" si="8"/>
        <v>A</v>
      </c>
      <c r="Q164">
        <f>IF(M164=0,0,VLOOKUP(M164,'aa codes'!$A$1:'aa codes'!$B$21,2))</f>
        <v>0</v>
      </c>
      <c r="R164">
        <f>IF(N164=0,0,VLOOKUP(N164,'aa codes'!$A$1:'aa codes'!$B$21,2))</f>
        <v>0</v>
      </c>
      <c r="S164" s="1">
        <v>6.6815144800000002E-3</v>
      </c>
      <c r="T164" s="1">
        <v>6.7796610200000001E-3</v>
      </c>
    </row>
    <row r="165" spans="1:20">
      <c r="A165">
        <v>9</v>
      </c>
      <c r="B165">
        <v>135785675</v>
      </c>
      <c r="C165" t="str">
        <f t="shared" si="6"/>
        <v>9:135785675</v>
      </c>
      <c r="D165">
        <v>1</v>
      </c>
      <c r="E165" s="1">
        <v>5.98802395E-3</v>
      </c>
      <c r="F165">
        <v>2</v>
      </c>
      <c r="G165">
        <v>1</v>
      </c>
      <c r="H165" s="4">
        <v>0</v>
      </c>
      <c r="I165">
        <v>12</v>
      </c>
      <c r="J165">
        <v>283</v>
      </c>
      <c r="K165">
        <v>0</v>
      </c>
      <c r="L165">
        <v>0</v>
      </c>
      <c r="M165">
        <v>0</v>
      </c>
      <c r="N165">
        <v>0</v>
      </c>
      <c r="O165" t="str">
        <f t="shared" si="7"/>
        <v>A</v>
      </c>
      <c r="P165" t="str">
        <f t="shared" si="8"/>
        <v>G</v>
      </c>
      <c r="Q165">
        <f>IF(M165=0,0,VLOOKUP(M165,'aa codes'!$A$1:'aa codes'!$B$21,2))</f>
        <v>0</v>
      </c>
      <c r="R165">
        <f>IF(N165=0,0,VLOOKUP(N165,'aa codes'!$A$1:'aa codes'!$B$21,2))</f>
        <v>0</v>
      </c>
      <c r="S165" s="1">
        <v>3.8910505799999999E-3</v>
      </c>
      <c r="T165" s="1">
        <v>5.98802395E-3</v>
      </c>
    </row>
    <row r="166" spans="1:20">
      <c r="A166">
        <v>9</v>
      </c>
      <c r="B166">
        <v>135785677</v>
      </c>
      <c r="C166" t="str">
        <f t="shared" si="6"/>
        <v>9:135785677</v>
      </c>
      <c r="D166">
        <v>2</v>
      </c>
      <c r="E166" s="1">
        <v>1.76211454E-2</v>
      </c>
      <c r="F166">
        <v>1</v>
      </c>
      <c r="G166">
        <v>2</v>
      </c>
      <c r="H166" s="4">
        <v>0</v>
      </c>
      <c r="I166">
        <v>12</v>
      </c>
      <c r="J166">
        <v>281</v>
      </c>
      <c r="K166">
        <v>0</v>
      </c>
      <c r="L166">
        <v>0</v>
      </c>
      <c r="M166">
        <v>0</v>
      </c>
      <c r="N166">
        <v>0</v>
      </c>
      <c r="O166" t="str">
        <f t="shared" si="7"/>
        <v>G</v>
      </c>
      <c r="P166" t="str">
        <f t="shared" si="8"/>
        <v>A</v>
      </c>
      <c r="Q166">
        <f>IF(M166=0,0,VLOOKUP(M166,'aa codes'!$A$1:'aa codes'!$B$21,2))</f>
        <v>0</v>
      </c>
      <c r="R166">
        <f>IF(N166=0,0,VLOOKUP(N166,'aa codes'!$A$1:'aa codes'!$B$21,2))</f>
        <v>0</v>
      </c>
      <c r="S166" s="1">
        <v>1.76211454E-2</v>
      </c>
      <c r="T166" s="1">
        <v>1.71232877E-2</v>
      </c>
    </row>
    <row r="167" spans="1:20">
      <c r="A167">
        <v>9</v>
      </c>
      <c r="B167">
        <v>135785680</v>
      </c>
      <c r="C167" t="str">
        <f t="shared" si="6"/>
        <v>9:135785680</v>
      </c>
      <c r="D167">
        <v>3</v>
      </c>
      <c r="E167" s="1">
        <v>5.4446460999999996E-3</v>
      </c>
      <c r="F167">
        <v>4</v>
      </c>
      <c r="G167">
        <v>1</v>
      </c>
      <c r="H167" s="4">
        <v>0</v>
      </c>
      <c r="I167">
        <v>12</v>
      </c>
      <c r="J167">
        <v>278</v>
      </c>
      <c r="K167">
        <v>0</v>
      </c>
      <c r="L167">
        <v>0</v>
      </c>
      <c r="M167">
        <v>0</v>
      </c>
      <c r="N167">
        <v>0</v>
      </c>
      <c r="O167" t="str">
        <f t="shared" si="7"/>
        <v>C</v>
      </c>
      <c r="P167" t="str">
        <f t="shared" si="8"/>
        <v>T</v>
      </c>
      <c r="Q167">
        <f>IF(M167=0,0,VLOOKUP(M167,'aa codes'!$A$1:'aa codes'!$B$21,2))</f>
        <v>0</v>
      </c>
      <c r="R167">
        <f>IF(N167=0,0,VLOOKUP(N167,'aa codes'!$A$1:'aa codes'!$B$21,2))</f>
        <v>0</v>
      </c>
      <c r="S167" s="1">
        <v>5.4446460999999996E-3</v>
      </c>
      <c r="T167" s="1">
        <v>2.7397260299999999E-3</v>
      </c>
    </row>
    <row r="168" spans="1:20">
      <c r="A168">
        <v>9</v>
      </c>
      <c r="B168">
        <v>135785682</v>
      </c>
      <c r="C168" t="str">
        <f t="shared" si="6"/>
        <v>9:135785682</v>
      </c>
      <c r="D168">
        <v>4</v>
      </c>
      <c r="E168" s="1">
        <v>1.4314928399999999E-2</v>
      </c>
      <c r="F168">
        <v>3</v>
      </c>
      <c r="G168">
        <v>2</v>
      </c>
      <c r="H168" s="4">
        <v>0</v>
      </c>
      <c r="I168">
        <v>12</v>
      </c>
      <c r="J168">
        <v>276</v>
      </c>
      <c r="K168">
        <v>0</v>
      </c>
      <c r="L168">
        <v>0</v>
      </c>
      <c r="M168">
        <v>0</v>
      </c>
      <c r="N168">
        <v>0</v>
      </c>
      <c r="O168" t="str">
        <f t="shared" si="7"/>
        <v>T</v>
      </c>
      <c r="P168" t="str">
        <f t="shared" si="8"/>
        <v>C</v>
      </c>
      <c r="Q168">
        <f>IF(M168=0,0,VLOOKUP(M168,'aa codes'!$A$1:'aa codes'!$B$21,2))</f>
        <v>0</v>
      </c>
      <c r="R168">
        <f>IF(N168=0,0,VLOOKUP(N168,'aa codes'!$A$1:'aa codes'!$B$21,2))</f>
        <v>0</v>
      </c>
      <c r="S168" s="1">
        <v>1.4314928399999999E-2</v>
      </c>
      <c r="T168" s="1">
        <v>6.4724919100000002E-3</v>
      </c>
    </row>
    <row r="169" spans="1:20">
      <c r="A169">
        <v>9</v>
      </c>
      <c r="B169">
        <v>135785683</v>
      </c>
      <c r="C169" t="str">
        <f t="shared" si="6"/>
        <v>9:135785683</v>
      </c>
      <c r="D169">
        <v>2</v>
      </c>
      <c r="E169" s="1">
        <v>6.3965884899999997E-3</v>
      </c>
      <c r="F169">
        <v>4</v>
      </c>
      <c r="G169">
        <v>1</v>
      </c>
      <c r="H169" s="4">
        <v>0</v>
      </c>
      <c r="I169">
        <v>12</v>
      </c>
      <c r="J169">
        <v>275</v>
      </c>
      <c r="K169">
        <v>0</v>
      </c>
      <c r="L169">
        <v>0</v>
      </c>
      <c r="M169">
        <v>0</v>
      </c>
      <c r="N169">
        <v>0</v>
      </c>
      <c r="O169" t="str">
        <f t="shared" si="7"/>
        <v>G</v>
      </c>
      <c r="P169" t="str">
        <f t="shared" si="8"/>
        <v>T</v>
      </c>
      <c r="Q169">
        <f>IF(M169=0,0,VLOOKUP(M169,'aa codes'!$A$1:'aa codes'!$B$21,2))</f>
        <v>0</v>
      </c>
      <c r="R169">
        <f>IF(N169=0,0,VLOOKUP(N169,'aa codes'!$A$1:'aa codes'!$B$21,2))</f>
        <v>0</v>
      </c>
      <c r="S169" s="1">
        <v>6.3965884899999997E-3</v>
      </c>
      <c r="T169" s="1">
        <v>3.34448161E-3</v>
      </c>
    </row>
    <row r="170" spans="1:20">
      <c r="A170">
        <v>9</v>
      </c>
      <c r="B170">
        <v>135785686</v>
      </c>
      <c r="C170" t="str">
        <f t="shared" si="6"/>
        <v>9:135785686</v>
      </c>
      <c r="D170">
        <v>4</v>
      </c>
      <c r="E170" s="1">
        <v>1.6447368399999999E-2</v>
      </c>
      <c r="F170">
        <v>3</v>
      </c>
      <c r="G170">
        <v>2</v>
      </c>
      <c r="H170" s="4">
        <v>0</v>
      </c>
      <c r="I170">
        <v>12</v>
      </c>
      <c r="J170">
        <v>272</v>
      </c>
      <c r="K170">
        <v>0</v>
      </c>
      <c r="L170">
        <v>0</v>
      </c>
      <c r="M170">
        <v>0</v>
      </c>
      <c r="N170">
        <v>0</v>
      </c>
      <c r="O170" t="str">
        <f t="shared" si="7"/>
        <v>T</v>
      </c>
      <c r="P170" t="str">
        <f t="shared" si="8"/>
        <v>C</v>
      </c>
      <c r="Q170">
        <f>IF(M170=0,0,VLOOKUP(M170,'aa codes'!$A$1:'aa codes'!$B$21,2))</f>
        <v>0</v>
      </c>
      <c r="R170">
        <f>IF(N170=0,0,VLOOKUP(N170,'aa codes'!$A$1:'aa codes'!$B$21,2))</f>
        <v>0</v>
      </c>
      <c r="S170" s="1">
        <v>1.07296137E-2</v>
      </c>
      <c r="T170" s="1">
        <v>1.6447368399999999E-2</v>
      </c>
    </row>
    <row r="171" spans="1:20">
      <c r="A171">
        <v>9</v>
      </c>
      <c r="B171">
        <v>135785688</v>
      </c>
      <c r="C171" t="str">
        <f t="shared" si="6"/>
        <v>9:135785688</v>
      </c>
      <c r="D171">
        <v>3</v>
      </c>
      <c r="E171" s="1">
        <v>1.59027128E-2</v>
      </c>
      <c r="F171">
        <v>1</v>
      </c>
      <c r="G171">
        <v>2</v>
      </c>
      <c r="H171" s="4">
        <v>0</v>
      </c>
      <c r="I171">
        <v>12</v>
      </c>
      <c r="J171">
        <v>270</v>
      </c>
      <c r="K171">
        <v>0</v>
      </c>
      <c r="L171">
        <v>0</v>
      </c>
      <c r="M171">
        <v>0</v>
      </c>
      <c r="N171">
        <v>0</v>
      </c>
      <c r="O171" t="str">
        <f t="shared" si="7"/>
        <v>C</v>
      </c>
      <c r="P171" t="str">
        <f t="shared" si="8"/>
        <v>A</v>
      </c>
      <c r="Q171">
        <f>IF(M171=0,0,VLOOKUP(M171,'aa codes'!$A$1:'aa codes'!$B$21,2))</f>
        <v>0</v>
      </c>
      <c r="R171">
        <f>IF(N171=0,0,VLOOKUP(N171,'aa codes'!$A$1:'aa codes'!$B$21,2))</f>
        <v>0</v>
      </c>
      <c r="S171" s="1">
        <v>1.59027128E-2</v>
      </c>
      <c r="T171" s="1">
        <v>1.3836477999999999E-2</v>
      </c>
    </row>
    <row r="172" spans="1:20">
      <c r="A172">
        <v>9</v>
      </c>
      <c r="B172">
        <v>135785690</v>
      </c>
      <c r="C172" t="str">
        <f t="shared" si="6"/>
        <v>9:135785690</v>
      </c>
      <c r="D172">
        <v>1</v>
      </c>
      <c r="E172" s="1">
        <v>6.4935064900000006E-2</v>
      </c>
      <c r="F172">
        <v>3</v>
      </c>
      <c r="G172">
        <v>2</v>
      </c>
      <c r="H172" s="4">
        <v>0</v>
      </c>
      <c r="I172">
        <v>12</v>
      </c>
      <c r="J172">
        <v>268</v>
      </c>
      <c r="K172">
        <v>0</v>
      </c>
      <c r="L172">
        <v>0</v>
      </c>
      <c r="M172">
        <v>0</v>
      </c>
      <c r="N172">
        <v>0</v>
      </c>
      <c r="O172" t="str">
        <f t="shared" si="7"/>
        <v>A</v>
      </c>
      <c r="P172" t="str">
        <f t="shared" si="8"/>
        <v>C</v>
      </c>
      <c r="Q172">
        <f>IF(M172=0,0,VLOOKUP(M172,'aa codes'!$A$1:'aa codes'!$B$21,2))</f>
        <v>0</v>
      </c>
      <c r="R172">
        <f>IF(N172=0,0,VLOOKUP(N172,'aa codes'!$A$1:'aa codes'!$B$21,2))</f>
        <v>0</v>
      </c>
      <c r="S172" s="1">
        <v>2.2813688200000001E-2</v>
      </c>
      <c r="T172" s="1">
        <v>6.4935064900000006E-2</v>
      </c>
    </row>
    <row r="173" spans="1:20">
      <c r="A173">
        <v>9</v>
      </c>
      <c r="B173">
        <v>135785691</v>
      </c>
      <c r="C173" t="str">
        <f t="shared" si="6"/>
        <v>9:135785691</v>
      </c>
      <c r="D173">
        <v>1</v>
      </c>
      <c r="E173" s="1">
        <v>3.1890660600000002E-2</v>
      </c>
      <c r="F173">
        <v>3</v>
      </c>
      <c r="G173">
        <v>2</v>
      </c>
      <c r="H173" s="4">
        <v>0</v>
      </c>
      <c r="I173">
        <v>12</v>
      </c>
      <c r="J173">
        <v>267</v>
      </c>
      <c r="K173">
        <v>0</v>
      </c>
      <c r="L173">
        <v>0</v>
      </c>
      <c r="M173">
        <v>0</v>
      </c>
      <c r="N173">
        <v>0</v>
      </c>
      <c r="O173" t="str">
        <f t="shared" si="7"/>
        <v>A</v>
      </c>
      <c r="P173" t="str">
        <f t="shared" si="8"/>
        <v>C</v>
      </c>
      <c r="Q173">
        <f>IF(M173=0,0,VLOOKUP(M173,'aa codes'!$A$1:'aa codes'!$B$21,2))</f>
        <v>0</v>
      </c>
      <c r="R173">
        <f>IF(N173=0,0,VLOOKUP(N173,'aa codes'!$A$1:'aa codes'!$B$21,2))</f>
        <v>0</v>
      </c>
      <c r="S173" s="1">
        <v>6.6115702499999996E-3</v>
      </c>
      <c r="T173" s="1">
        <v>3.1890660600000002E-2</v>
      </c>
    </row>
    <row r="174" spans="1:20">
      <c r="A174">
        <v>9</v>
      </c>
      <c r="B174">
        <v>135785692</v>
      </c>
      <c r="C174" t="str">
        <f t="shared" si="6"/>
        <v>9:135785692</v>
      </c>
      <c r="D174">
        <v>1</v>
      </c>
      <c r="E174" s="1">
        <v>1.6877637099999999E-2</v>
      </c>
      <c r="F174">
        <v>3</v>
      </c>
      <c r="G174">
        <v>1</v>
      </c>
      <c r="H174" s="4">
        <v>0</v>
      </c>
      <c r="I174">
        <v>12</v>
      </c>
      <c r="J174">
        <v>266</v>
      </c>
      <c r="K174">
        <v>0</v>
      </c>
      <c r="L174">
        <v>0</v>
      </c>
      <c r="M174">
        <v>0</v>
      </c>
      <c r="N174">
        <v>0</v>
      </c>
      <c r="O174" t="str">
        <f t="shared" si="7"/>
        <v>A</v>
      </c>
      <c r="P174" t="str">
        <f t="shared" si="8"/>
        <v>C</v>
      </c>
      <c r="Q174">
        <f>IF(M174=0,0,VLOOKUP(M174,'aa codes'!$A$1:'aa codes'!$B$21,2))</f>
        <v>0</v>
      </c>
      <c r="R174">
        <f>IF(N174=0,0,VLOOKUP(N174,'aa codes'!$A$1:'aa codes'!$B$21,2))</f>
        <v>0</v>
      </c>
      <c r="S174" s="1">
        <v>3.0674846600000001E-3</v>
      </c>
      <c r="T174" s="1">
        <v>1.6877637099999999E-2</v>
      </c>
    </row>
    <row r="175" spans="1:20">
      <c r="A175">
        <v>9</v>
      </c>
      <c r="B175">
        <v>135785693</v>
      </c>
      <c r="C175" t="str">
        <f t="shared" si="6"/>
        <v>9:135785693</v>
      </c>
      <c r="D175">
        <v>1</v>
      </c>
      <c r="E175" s="1">
        <v>8.2304526699999991E-3</v>
      </c>
      <c r="F175">
        <v>3</v>
      </c>
      <c r="G175">
        <v>1</v>
      </c>
      <c r="H175" s="4">
        <v>0</v>
      </c>
      <c r="I175">
        <v>12</v>
      </c>
      <c r="J175">
        <v>265</v>
      </c>
      <c r="K175">
        <v>0</v>
      </c>
      <c r="L175">
        <v>0</v>
      </c>
      <c r="M175">
        <v>0</v>
      </c>
      <c r="N175">
        <v>0</v>
      </c>
      <c r="O175" t="str">
        <f t="shared" si="7"/>
        <v>A</v>
      </c>
      <c r="P175" t="str">
        <f t="shared" si="8"/>
        <v>C</v>
      </c>
      <c r="Q175">
        <f>IF(M175=0,0,VLOOKUP(M175,'aa codes'!$A$1:'aa codes'!$B$21,2))</f>
        <v>0</v>
      </c>
      <c r="R175">
        <f>IF(N175=0,0,VLOOKUP(N175,'aa codes'!$A$1:'aa codes'!$B$21,2))</f>
        <v>0</v>
      </c>
      <c r="S175" s="1">
        <v>2.9027576199999999E-3</v>
      </c>
      <c r="T175" s="1">
        <v>8.2304526699999991E-3</v>
      </c>
    </row>
    <row r="176" spans="1:20">
      <c r="A176">
        <v>9</v>
      </c>
      <c r="B176">
        <v>135785707</v>
      </c>
      <c r="C176" t="str">
        <f t="shared" si="6"/>
        <v>9:135785707</v>
      </c>
      <c r="D176">
        <v>1</v>
      </c>
      <c r="E176" s="1">
        <v>6.0975609799999997E-3</v>
      </c>
      <c r="F176">
        <v>4</v>
      </c>
      <c r="G176">
        <v>1</v>
      </c>
      <c r="H176" s="4">
        <v>0</v>
      </c>
      <c r="I176">
        <v>12</v>
      </c>
      <c r="J176">
        <v>251</v>
      </c>
      <c r="K176">
        <v>0</v>
      </c>
      <c r="L176">
        <v>0</v>
      </c>
      <c r="M176">
        <v>0</v>
      </c>
      <c r="N176">
        <v>0</v>
      </c>
      <c r="O176" t="str">
        <f t="shared" si="7"/>
        <v>A</v>
      </c>
      <c r="P176" t="str">
        <f t="shared" si="8"/>
        <v>T</v>
      </c>
      <c r="Q176">
        <f>IF(M176=0,0,VLOOKUP(M176,'aa codes'!$A$1:'aa codes'!$B$21,2))</f>
        <v>0</v>
      </c>
      <c r="R176">
        <f>IF(N176=0,0,VLOOKUP(N176,'aa codes'!$A$1:'aa codes'!$B$21,2))</f>
        <v>0</v>
      </c>
      <c r="S176" s="1">
        <v>2.57400257E-3</v>
      </c>
      <c r="T176" s="1">
        <v>6.0975609799999997E-3</v>
      </c>
    </row>
    <row r="177" spans="1:20">
      <c r="A177">
        <v>9</v>
      </c>
      <c r="B177">
        <v>135785711</v>
      </c>
      <c r="C177" t="str">
        <f t="shared" si="6"/>
        <v>9:135785711</v>
      </c>
      <c r="D177">
        <v>4</v>
      </c>
      <c r="E177" s="1">
        <v>2.7164685899999999E-2</v>
      </c>
      <c r="F177">
        <v>1</v>
      </c>
      <c r="G177">
        <v>2</v>
      </c>
      <c r="H177" s="4">
        <v>0</v>
      </c>
      <c r="I177">
        <v>12</v>
      </c>
      <c r="J177">
        <v>247</v>
      </c>
      <c r="K177">
        <v>0</v>
      </c>
      <c r="L177">
        <v>0</v>
      </c>
      <c r="M177">
        <v>0</v>
      </c>
      <c r="N177">
        <v>0</v>
      </c>
      <c r="O177" t="str">
        <f t="shared" si="7"/>
        <v>T</v>
      </c>
      <c r="P177" t="str">
        <f t="shared" si="8"/>
        <v>A</v>
      </c>
      <c r="Q177">
        <f>IF(M177=0,0,VLOOKUP(M177,'aa codes'!$A$1:'aa codes'!$B$21,2))</f>
        <v>0</v>
      </c>
      <c r="R177">
        <f>IF(N177=0,0,VLOOKUP(N177,'aa codes'!$A$1:'aa codes'!$B$21,2))</f>
        <v>0</v>
      </c>
      <c r="S177" s="1">
        <v>2.7164685899999999E-2</v>
      </c>
      <c r="T177" s="1">
        <v>1.04438642E-2</v>
      </c>
    </row>
    <row r="178" spans="1:20">
      <c r="A178">
        <v>9</v>
      </c>
      <c r="B178">
        <v>135785712</v>
      </c>
      <c r="C178" t="str">
        <f t="shared" si="6"/>
        <v>9:135785712</v>
      </c>
      <c r="D178">
        <v>3</v>
      </c>
      <c r="E178" s="1">
        <v>1.12721417E-2</v>
      </c>
      <c r="F178">
        <v>1</v>
      </c>
      <c r="G178">
        <v>1</v>
      </c>
      <c r="H178" s="4">
        <v>0</v>
      </c>
      <c r="I178">
        <v>12</v>
      </c>
      <c r="J178">
        <v>246</v>
      </c>
      <c r="K178">
        <v>0</v>
      </c>
      <c r="L178">
        <v>0</v>
      </c>
      <c r="M178">
        <v>0</v>
      </c>
      <c r="N178">
        <v>0</v>
      </c>
      <c r="O178" t="str">
        <f t="shared" si="7"/>
        <v>C</v>
      </c>
      <c r="P178" t="str">
        <f t="shared" si="8"/>
        <v>A</v>
      </c>
      <c r="Q178">
        <f>IF(M178=0,0,VLOOKUP(M178,'aa codes'!$A$1:'aa codes'!$B$21,2))</f>
        <v>0</v>
      </c>
      <c r="R178">
        <f>IF(N178=0,0,VLOOKUP(N178,'aa codes'!$A$1:'aa codes'!$B$21,2))</f>
        <v>0</v>
      </c>
      <c r="S178" s="1">
        <v>1.12721417E-2</v>
      </c>
      <c r="T178" s="1">
        <v>2.6455026500000001E-3</v>
      </c>
    </row>
    <row r="179" spans="1:20">
      <c r="A179">
        <v>9</v>
      </c>
      <c r="B179">
        <v>135785716</v>
      </c>
      <c r="C179" t="str">
        <f t="shared" si="6"/>
        <v>9:135785716</v>
      </c>
      <c r="D179">
        <v>1</v>
      </c>
      <c r="E179" s="1">
        <v>9.1743119299999999E-3</v>
      </c>
      <c r="F179">
        <v>2</v>
      </c>
      <c r="G179">
        <v>1</v>
      </c>
      <c r="H179" s="4">
        <v>0</v>
      </c>
      <c r="I179">
        <v>12</v>
      </c>
      <c r="J179">
        <v>242</v>
      </c>
      <c r="K179">
        <v>0</v>
      </c>
      <c r="L179">
        <v>0</v>
      </c>
      <c r="M179">
        <v>0</v>
      </c>
      <c r="N179">
        <v>0</v>
      </c>
      <c r="O179" t="str">
        <f t="shared" si="7"/>
        <v>A</v>
      </c>
      <c r="P179" t="str">
        <f t="shared" si="8"/>
        <v>G</v>
      </c>
      <c r="Q179">
        <f>IF(M179=0,0,VLOOKUP(M179,'aa codes'!$A$1:'aa codes'!$B$21,2))</f>
        <v>0</v>
      </c>
      <c r="R179">
        <f>IF(N179=0,0,VLOOKUP(N179,'aa codes'!$A$1:'aa codes'!$B$21,2))</f>
        <v>0</v>
      </c>
      <c r="S179" s="1">
        <v>1.69491525E-3</v>
      </c>
      <c r="T179" s="1">
        <v>9.1743119299999999E-3</v>
      </c>
    </row>
    <row r="180" spans="1:20">
      <c r="A180">
        <v>9</v>
      </c>
      <c r="B180">
        <v>135785718</v>
      </c>
      <c r="C180" t="str">
        <f t="shared" si="6"/>
        <v>9:135785718</v>
      </c>
      <c r="D180">
        <v>1</v>
      </c>
      <c r="E180" s="1">
        <v>5.97014925E-3</v>
      </c>
      <c r="F180">
        <v>2</v>
      </c>
      <c r="G180">
        <v>1</v>
      </c>
      <c r="H180" s="4">
        <v>0</v>
      </c>
      <c r="I180">
        <v>12</v>
      </c>
      <c r="J180">
        <v>240</v>
      </c>
      <c r="K180">
        <v>0</v>
      </c>
      <c r="L180">
        <v>0</v>
      </c>
      <c r="M180">
        <v>0</v>
      </c>
      <c r="N180">
        <v>0</v>
      </c>
      <c r="O180" t="str">
        <f t="shared" si="7"/>
        <v>A</v>
      </c>
      <c r="P180" t="str">
        <f t="shared" si="8"/>
        <v>G</v>
      </c>
      <c r="Q180">
        <f>IF(M180=0,0,VLOOKUP(M180,'aa codes'!$A$1:'aa codes'!$B$21,2))</f>
        <v>0</v>
      </c>
      <c r="R180">
        <f>IF(N180=0,0,VLOOKUP(N180,'aa codes'!$A$1:'aa codes'!$B$21,2))</f>
        <v>0</v>
      </c>
      <c r="S180" s="1">
        <v>1.6077170400000001E-3</v>
      </c>
      <c r="T180" s="1">
        <v>5.97014925E-3</v>
      </c>
    </row>
    <row r="181" spans="1:20">
      <c r="A181">
        <v>9</v>
      </c>
      <c r="B181">
        <v>135785720</v>
      </c>
      <c r="C181" t="str">
        <f t="shared" si="6"/>
        <v>9:135785720</v>
      </c>
      <c r="D181">
        <v>4</v>
      </c>
      <c r="E181" s="1">
        <v>7.3313783E-3</v>
      </c>
      <c r="F181">
        <v>1</v>
      </c>
      <c r="G181">
        <v>1</v>
      </c>
      <c r="H181" s="4">
        <v>0</v>
      </c>
      <c r="I181">
        <v>12</v>
      </c>
      <c r="J181">
        <v>238</v>
      </c>
      <c r="K181">
        <v>0</v>
      </c>
      <c r="L181">
        <v>0</v>
      </c>
      <c r="M181">
        <v>0</v>
      </c>
      <c r="N181">
        <v>0</v>
      </c>
      <c r="O181" t="str">
        <f t="shared" si="7"/>
        <v>T</v>
      </c>
      <c r="P181" t="str">
        <f t="shared" si="8"/>
        <v>A</v>
      </c>
      <c r="Q181">
        <f>IF(M181=0,0,VLOOKUP(M181,'aa codes'!$A$1:'aa codes'!$B$21,2))</f>
        <v>0</v>
      </c>
      <c r="R181">
        <f>IF(N181=0,0,VLOOKUP(N181,'aa codes'!$A$1:'aa codes'!$B$21,2))</f>
        <v>0</v>
      </c>
      <c r="S181" s="1">
        <v>7.3313783E-3</v>
      </c>
      <c r="T181" s="1">
        <v>0</v>
      </c>
    </row>
    <row r="182" spans="1:20">
      <c r="A182">
        <v>9</v>
      </c>
      <c r="B182">
        <v>135785731</v>
      </c>
      <c r="C182" t="str">
        <f t="shared" si="6"/>
        <v>9:135785731</v>
      </c>
      <c r="D182">
        <v>4</v>
      </c>
      <c r="E182" s="1">
        <v>5.9523809499999998E-3</v>
      </c>
      <c r="F182">
        <v>3</v>
      </c>
      <c r="G182">
        <v>1</v>
      </c>
      <c r="H182" s="4">
        <v>0</v>
      </c>
      <c r="I182">
        <v>12</v>
      </c>
      <c r="J182">
        <v>227</v>
      </c>
      <c r="K182">
        <v>0</v>
      </c>
      <c r="L182">
        <v>0</v>
      </c>
      <c r="M182">
        <v>0</v>
      </c>
      <c r="N182">
        <v>0</v>
      </c>
      <c r="O182" t="str">
        <f t="shared" si="7"/>
        <v>T</v>
      </c>
      <c r="P182" t="str">
        <f t="shared" si="8"/>
        <v>C</v>
      </c>
      <c r="Q182">
        <f>IF(M182=0,0,VLOOKUP(M182,'aa codes'!$A$1:'aa codes'!$B$21,2))</f>
        <v>0</v>
      </c>
      <c r="R182">
        <f>IF(N182=0,0,VLOOKUP(N182,'aa codes'!$A$1:'aa codes'!$B$21,2))</f>
        <v>0</v>
      </c>
      <c r="S182" s="1">
        <v>5.9523809499999998E-3</v>
      </c>
      <c r="T182" s="1">
        <v>4.1928721199999998E-3</v>
      </c>
    </row>
    <row r="183" spans="1:20">
      <c r="A183">
        <v>9</v>
      </c>
      <c r="B183">
        <v>135785734</v>
      </c>
      <c r="C183" t="str">
        <f t="shared" si="6"/>
        <v>9:135785734</v>
      </c>
      <c r="D183">
        <v>4</v>
      </c>
      <c r="E183" s="1">
        <v>6.3291139199999997E-3</v>
      </c>
      <c r="F183">
        <v>2</v>
      </c>
      <c r="G183">
        <v>1</v>
      </c>
      <c r="H183" s="4">
        <v>0</v>
      </c>
      <c r="I183">
        <v>12</v>
      </c>
      <c r="J183">
        <v>224</v>
      </c>
      <c r="K183">
        <v>0</v>
      </c>
      <c r="L183">
        <v>0</v>
      </c>
      <c r="M183">
        <v>0</v>
      </c>
      <c r="N183">
        <v>0</v>
      </c>
      <c r="O183" t="str">
        <f t="shared" si="7"/>
        <v>T</v>
      </c>
      <c r="P183" t="str">
        <f t="shared" si="8"/>
        <v>G</v>
      </c>
      <c r="Q183">
        <f>IF(M183=0,0,VLOOKUP(M183,'aa codes'!$A$1:'aa codes'!$B$21,2))</f>
        <v>0</v>
      </c>
      <c r="R183">
        <f>IF(N183=0,0,VLOOKUP(N183,'aa codes'!$A$1:'aa codes'!$B$21,2))</f>
        <v>0</v>
      </c>
      <c r="S183" s="1">
        <v>1.1918951100000001E-3</v>
      </c>
      <c r="T183" s="1">
        <v>6.3291139199999997E-3</v>
      </c>
    </row>
    <row r="184" spans="1:20">
      <c r="A184">
        <v>9</v>
      </c>
      <c r="B184">
        <v>135785745</v>
      </c>
      <c r="C184" t="str">
        <f t="shared" si="6"/>
        <v>9:135785745</v>
      </c>
      <c r="D184">
        <v>3</v>
      </c>
      <c r="E184" s="1">
        <v>8.7390761500000004E-3</v>
      </c>
      <c r="F184">
        <v>1</v>
      </c>
      <c r="G184">
        <v>2</v>
      </c>
      <c r="H184" s="4">
        <v>0</v>
      </c>
      <c r="I184">
        <v>12</v>
      </c>
      <c r="J184">
        <v>213</v>
      </c>
      <c r="K184">
        <v>0</v>
      </c>
      <c r="L184">
        <v>0</v>
      </c>
      <c r="M184">
        <v>0</v>
      </c>
      <c r="N184">
        <v>0</v>
      </c>
      <c r="O184" t="str">
        <f t="shared" si="7"/>
        <v>C</v>
      </c>
      <c r="P184" t="str">
        <f t="shared" si="8"/>
        <v>A</v>
      </c>
      <c r="Q184">
        <f>IF(M184=0,0,VLOOKUP(M184,'aa codes'!$A$1:'aa codes'!$B$21,2))</f>
        <v>0</v>
      </c>
      <c r="R184">
        <f>IF(N184=0,0,VLOOKUP(N184,'aa codes'!$A$1:'aa codes'!$B$21,2))</f>
        <v>0</v>
      </c>
      <c r="S184" s="1">
        <v>8.7390761500000004E-3</v>
      </c>
      <c r="T184" s="1">
        <v>6.0240963899999998E-3</v>
      </c>
    </row>
    <row r="185" spans="1:20">
      <c r="A185">
        <v>9</v>
      </c>
      <c r="B185">
        <v>135786962</v>
      </c>
      <c r="C185" t="str">
        <f t="shared" si="6"/>
        <v>9:135786962</v>
      </c>
      <c r="D185">
        <v>4</v>
      </c>
      <c r="E185" s="1">
        <v>2.6442307700000001E-2</v>
      </c>
      <c r="F185">
        <v>1</v>
      </c>
      <c r="G185">
        <v>2</v>
      </c>
      <c r="H185" s="4">
        <v>0</v>
      </c>
      <c r="I185">
        <v>10</v>
      </c>
      <c r="J185">
        <v>-7</v>
      </c>
      <c r="K185">
        <v>0</v>
      </c>
      <c r="L185">
        <v>0</v>
      </c>
      <c r="M185">
        <v>0</v>
      </c>
      <c r="N185">
        <v>0</v>
      </c>
      <c r="O185" t="str">
        <f t="shared" si="7"/>
        <v>T</v>
      </c>
      <c r="P185" t="str">
        <f t="shared" si="8"/>
        <v>A</v>
      </c>
      <c r="Q185">
        <f>IF(M185=0,0,VLOOKUP(M185,'aa codes'!$A$1:'aa codes'!$B$21,2))</f>
        <v>0</v>
      </c>
      <c r="R185">
        <f>IF(N185=0,0,VLOOKUP(N185,'aa codes'!$A$1:'aa codes'!$B$21,2))</f>
        <v>0</v>
      </c>
      <c r="S185" s="1">
        <v>2.4647887300000001E-2</v>
      </c>
      <c r="T185" s="1">
        <v>2.6442307700000001E-2</v>
      </c>
    </row>
    <row r="186" spans="1:20">
      <c r="A186">
        <v>9</v>
      </c>
      <c r="B186">
        <v>135786967</v>
      </c>
      <c r="C186" t="str">
        <f t="shared" si="6"/>
        <v>9:135786967</v>
      </c>
      <c r="D186">
        <v>2</v>
      </c>
      <c r="E186" s="1">
        <v>7.6142132E-3</v>
      </c>
      <c r="F186">
        <v>1</v>
      </c>
      <c r="G186">
        <v>1</v>
      </c>
      <c r="H186" s="4">
        <v>0</v>
      </c>
      <c r="I186">
        <v>10</v>
      </c>
      <c r="J186">
        <v>-12</v>
      </c>
      <c r="K186">
        <v>0</v>
      </c>
      <c r="L186">
        <v>0</v>
      </c>
      <c r="M186">
        <v>0</v>
      </c>
      <c r="N186">
        <v>0</v>
      </c>
      <c r="O186" t="str">
        <f t="shared" si="7"/>
        <v>G</v>
      </c>
      <c r="P186" t="str">
        <f t="shared" si="8"/>
        <v>A</v>
      </c>
      <c r="Q186">
        <f>IF(M186=0,0,VLOOKUP(M186,'aa codes'!$A$1:'aa codes'!$B$21,2))</f>
        <v>0</v>
      </c>
      <c r="R186">
        <f>IF(N186=0,0,VLOOKUP(N186,'aa codes'!$A$1:'aa codes'!$B$21,2))</f>
        <v>0</v>
      </c>
      <c r="S186" s="1">
        <v>3.8387715900000002E-3</v>
      </c>
      <c r="T186" s="1">
        <v>7.6142132E-3</v>
      </c>
    </row>
    <row r="187" spans="1:20">
      <c r="A187">
        <v>9</v>
      </c>
      <c r="B187">
        <v>135786969</v>
      </c>
      <c r="C187" t="str">
        <f t="shared" si="6"/>
        <v>9:135786969</v>
      </c>
      <c r="D187">
        <v>2</v>
      </c>
      <c r="E187" s="1">
        <v>5.1546391800000001E-3</v>
      </c>
      <c r="F187">
        <v>1</v>
      </c>
      <c r="G187">
        <v>1</v>
      </c>
      <c r="H187" s="4">
        <v>0</v>
      </c>
      <c r="I187">
        <v>10</v>
      </c>
      <c r="J187">
        <v>-14</v>
      </c>
      <c r="K187">
        <v>0</v>
      </c>
      <c r="L187">
        <v>0</v>
      </c>
      <c r="M187">
        <v>0</v>
      </c>
      <c r="N187">
        <v>0</v>
      </c>
      <c r="O187" t="str">
        <f t="shared" si="7"/>
        <v>G</v>
      </c>
      <c r="P187" t="str">
        <f t="shared" si="8"/>
        <v>A</v>
      </c>
      <c r="Q187">
        <f>IF(M187=0,0,VLOOKUP(M187,'aa codes'!$A$1:'aa codes'!$B$21,2))</f>
        <v>0</v>
      </c>
      <c r="R187">
        <f>IF(N187=0,0,VLOOKUP(N187,'aa codes'!$A$1:'aa codes'!$B$21,2))</f>
        <v>0</v>
      </c>
      <c r="S187" s="1">
        <v>3.8834951500000001E-3</v>
      </c>
      <c r="T187" s="1">
        <v>5.1546391800000001E-3</v>
      </c>
    </row>
    <row r="188" spans="1:20">
      <c r="A188">
        <v>9</v>
      </c>
      <c r="B188">
        <v>135786972</v>
      </c>
      <c r="C188" t="str">
        <f t="shared" si="6"/>
        <v>9:135786972</v>
      </c>
      <c r="D188">
        <v>2</v>
      </c>
      <c r="E188" s="1">
        <v>2.35602094E-2</v>
      </c>
      <c r="F188">
        <v>1</v>
      </c>
      <c r="G188">
        <v>2</v>
      </c>
      <c r="H188" s="4">
        <v>0</v>
      </c>
      <c r="I188">
        <v>10</v>
      </c>
      <c r="J188">
        <v>-17</v>
      </c>
      <c r="K188">
        <v>0</v>
      </c>
      <c r="L188">
        <v>0</v>
      </c>
      <c r="M188">
        <v>0</v>
      </c>
      <c r="N188">
        <v>0</v>
      </c>
      <c r="O188" t="str">
        <f t="shared" si="7"/>
        <v>G</v>
      </c>
      <c r="P188" t="str">
        <f t="shared" si="8"/>
        <v>A</v>
      </c>
      <c r="Q188">
        <f>IF(M188=0,0,VLOOKUP(M188,'aa codes'!$A$1:'aa codes'!$B$21,2))</f>
        <v>0</v>
      </c>
      <c r="R188">
        <f>IF(N188=0,0,VLOOKUP(N188,'aa codes'!$A$1:'aa codes'!$B$21,2))</f>
        <v>0</v>
      </c>
      <c r="S188" s="1">
        <v>1.953125E-2</v>
      </c>
      <c r="T188" s="1">
        <v>2.35602094E-2</v>
      </c>
    </row>
    <row r="189" spans="1:20">
      <c r="A189">
        <v>9</v>
      </c>
      <c r="B189">
        <v>135786975</v>
      </c>
      <c r="C189" t="str">
        <f t="shared" si="6"/>
        <v>9:135786975</v>
      </c>
      <c r="D189">
        <v>3</v>
      </c>
      <c r="E189" s="1">
        <v>2.21327968E-2</v>
      </c>
      <c r="F189">
        <v>1</v>
      </c>
      <c r="G189">
        <v>2</v>
      </c>
      <c r="H189" s="4">
        <v>0</v>
      </c>
      <c r="I189">
        <v>10</v>
      </c>
      <c r="J189">
        <v>-20</v>
      </c>
      <c r="K189">
        <v>0</v>
      </c>
      <c r="L189">
        <v>0</v>
      </c>
      <c r="M189">
        <v>0</v>
      </c>
      <c r="N189">
        <v>0</v>
      </c>
      <c r="O189" t="str">
        <f t="shared" si="7"/>
        <v>C</v>
      </c>
      <c r="P189" t="str">
        <f t="shared" si="8"/>
        <v>A</v>
      </c>
      <c r="Q189">
        <f>IF(M189=0,0,VLOOKUP(M189,'aa codes'!$A$1:'aa codes'!$B$21,2))</f>
        <v>0</v>
      </c>
      <c r="R189">
        <f>IF(N189=0,0,VLOOKUP(N189,'aa codes'!$A$1:'aa codes'!$B$21,2))</f>
        <v>0</v>
      </c>
      <c r="S189" s="1">
        <v>2.21327968E-2</v>
      </c>
      <c r="T189" s="1">
        <v>1.8567639300000001E-2</v>
      </c>
    </row>
    <row r="190" spans="1:20">
      <c r="A190">
        <v>9</v>
      </c>
      <c r="B190">
        <v>135786977</v>
      </c>
      <c r="C190" t="str">
        <f t="shared" si="6"/>
        <v>9:135786977</v>
      </c>
      <c r="D190">
        <v>3</v>
      </c>
      <c r="E190" s="1">
        <v>2.6639344299999999E-2</v>
      </c>
      <c r="F190">
        <v>1</v>
      </c>
      <c r="G190">
        <v>2</v>
      </c>
      <c r="H190" s="4">
        <v>0</v>
      </c>
      <c r="I190">
        <v>10</v>
      </c>
      <c r="J190">
        <v>-22</v>
      </c>
      <c r="K190">
        <v>0</v>
      </c>
      <c r="L190">
        <v>0</v>
      </c>
      <c r="M190">
        <v>0</v>
      </c>
      <c r="N190">
        <v>0</v>
      </c>
      <c r="O190" t="str">
        <f t="shared" si="7"/>
        <v>C</v>
      </c>
      <c r="P190" t="str">
        <f t="shared" si="8"/>
        <v>A</v>
      </c>
      <c r="Q190">
        <f>IF(M190=0,0,VLOOKUP(M190,'aa codes'!$A$1:'aa codes'!$B$21,2))</f>
        <v>0</v>
      </c>
      <c r="R190">
        <f>IF(N190=0,0,VLOOKUP(N190,'aa codes'!$A$1:'aa codes'!$B$21,2))</f>
        <v>0</v>
      </c>
      <c r="S190" s="1">
        <v>2.6639344299999999E-2</v>
      </c>
      <c r="T190" s="1">
        <v>1.8867924500000001E-2</v>
      </c>
    </row>
    <row r="191" spans="1:20">
      <c r="A191">
        <v>9</v>
      </c>
      <c r="B191">
        <v>135786979</v>
      </c>
      <c r="C191" t="str">
        <f t="shared" si="6"/>
        <v>9:135786979</v>
      </c>
      <c r="D191">
        <v>2</v>
      </c>
      <c r="E191" s="1">
        <v>7.5757575800000001E-3</v>
      </c>
      <c r="F191">
        <v>1</v>
      </c>
      <c r="G191">
        <v>1</v>
      </c>
      <c r="H191" s="4">
        <v>0</v>
      </c>
      <c r="I191">
        <v>10</v>
      </c>
      <c r="J191">
        <v>-24</v>
      </c>
      <c r="K191">
        <v>0</v>
      </c>
      <c r="L191">
        <v>0</v>
      </c>
      <c r="M191">
        <v>0</v>
      </c>
      <c r="N191">
        <v>0</v>
      </c>
      <c r="O191" t="str">
        <f t="shared" si="7"/>
        <v>G</v>
      </c>
      <c r="P191" t="str">
        <f t="shared" si="8"/>
        <v>A</v>
      </c>
      <c r="Q191">
        <f>IF(M191=0,0,VLOOKUP(M191,'aa codes'!$A$1:'aa codes'!$B$21,2))</f>
        <v>0</v>
      </c>
      <c r="R191">
        <f>IF(N191=0,0,VLOOKUP(N191,'aa codes'!$A$1:'aa codes'!$B$21,2))</f>
        <v>0</v>
      </c>
      <c r="S191" s="1">
        <v>7.5757575800000001E-3</v>
      </c>
      <c r="T191" s="1">
        <v>4.8780487799999998E-3</v>
      </c>
    </row>
    <row r="192" spans="1:20">
      <c r="A192">
        <v>9</v>
      </c>
      <c r="B192">
        <v>135786984</v>
      </c>
      <c r="C192" t="str">
        <f t="shared" si="6"/>
        <v>9:135786984</v>
      </c>
      <c r="D192">
        <v>4</v>
      </c>
      <c r="E192" s="1">
        <v>6.7796610200000001E-3</v>
      </c>
      <c r="F192">
        <v>2</v>
      </c>
      <c r="G192">
        <v>1</v>
      </c>
      <c r="H192" s="4">
        <v>0</v>
      </c>
      <c r="I192">
        <v>10</v>
      </c>
      <c r="J192">
        <v>-29</v>
      </c>
      <c r="K192">
        <v>0</v>
      </c>
      <c r="L192">
        <v>0</v>
      </c>
      <c r="M192">
        <v>0</v>
      </c>
      <c r="N192">
        <v>0</v>
      </c>
      <c r="O192" t="str">
        <f t="shared" si="7"/>
        <v>T</v>
      </c>
      <c r="P192" t="str">
        <f t="shared" si="8"/>
        <v>G</v>
      </c>
      <c r="Q192">
        <f>IF(M192=0,0,VLOOKUP(M192,'aa codes'!$A$1:'aa codes'!$B$21,2))</f>
        <v>0</v>
      </c>
      <c r="R192">
        <f>IF(N192=0,0,VLOOKUP(N192,'aa codes'!$A$1:'aa codes'!$B$21,2))</f>
        <v>0</v>
      </c>
      <c r="S192" s="1">
        <v>0</v>
      </c>
      <c r="T192" s="1">
        <v>6.7796610200000001E-3</v>
      </c>
    </row>
    <row r="193" spans="1:20">
      <c r="A193">
        <v>9</v>
      </c>
      <c r="B193">
        <v>135786999</v>
      </c>
      <c r="C193" t="str">
        <f t="shared" si="6"/>
        <v>9:135786999</v>
      </c>
      <c r="D193">
        <v>1</v>
      </c>
      <c r="E193" s="1">
        <v>9.7323601000000003E-3</v>
      </c>
      <c r="F193">
        <v>4</v>
      </c>
      <c r="G193">
        <v>1</v>
      </c>
      <c r="H193" s="4">
        <v>0</v>
      </c>
      <c r="I193">
        <v>10</v>
      </c>
      <c r="J193">
        <v>-44</v>
      </c>
      <c r="K193">
        <v>0</v>
      </c>
      <c r="L193">
        <v>0</v>
      </c>
      <c r="M193">
        <v>0</v>
      </c>
      <c r="N193">
        <v>0</v>
      </c>
      <c r="O193" t="str">
        <f t="shared" si="7"/>
        <v>A</v>
      </c>
      <c r="P193" t="str">
        <f t="shared" si="8"/>
        <v>T</v>
      </c>
      <c r="Q193">
        <f>IF(M193=0,0,VLOOKUP(M193,'aa codes'!$A$1:'aa codes'!$B$21,2))</f>
        <v>0</v>
      </c>
      <c r="R193">
        <f>IF(N193=0,0,VLOOKUP(N193,'aa codes'!$A$1:'aa codes'!$B$21,2))</f>
        <v>0</v>
      </c>
      <c r="S193" s="1">
        <v>9.7323601000000003E-3</v>
      </c>
      <c r="T193" s="1">
        <v>3.34448161E-3</v>
      </c>
    </row>
    <row r="194" spans="1:20">
      <c r="A194">
        <v>9</v>
      </c>
      <c r="B194">
        <v>135787000</v>
      </c>
      <c r="C194" t="str">
        <f t="shared" si="6"/>
        <v>9:135787000</v>
      </c>
      <c r="D194">
        <v>2</v>
      </c>
      <c r="E194" s="1">
        <v>1.6129032299999999E-2</v>
      </c>
      <c r="F194">
        <v>1</v>
      </c>
      <c r="G194">
        <v>2</v>
      </c>
      <c r="H194" s="4">
        <v>0</v>
      </c>
      <c r="I194">
        <v>10</v>
      </c>
      <c r="J194">
        <v>-45</v>
      </c>
      <c r="K194">
        <v>0</v>
      </c>
      <c r="L194">
        <v>0</v>
      </c>
      <c r="M194">
        <v>0</v>
      </c>
      <c r="N194">
        <v>0</v>
      </c>
      <c r="O194" t="str">
        <f t="shared" si="7"/>
        <v>G</v>
      </c>
      <c r="P194" t="str">
        <f t="shared" si="8"/>
        <v>A</v>
      </c>
      <c r="Q194">
        <f>IF(M194=0,0,VLOOKUP(M194,'aa codes'!$A$1:'aa codes'!$B$21,2))</f>
        <v>0</v>
      </c>
      <c r="R194">
        <f>IF(N194=0,0,VLOOKUP(N194,'aa codes'!$A$1:'aa codes'!$B$21,2))</f>
        <v>0</v>
      </c>
      <c r="S194" s="1">
        <v>1.6129032299999999E-2</v>
      </c>
      <c r="T194" s="1">
        <v>1.5873015899999999E-2</v>
      </c>
    </row>
    <row r="195" spans="1:20">
      <c r="A195">
        <v>9</v>
      </c>
      <c r="B195">
        <v>135787004</v>
      </c>
      <c r="C195" t="str">
        <f t="shared" ref="C195:C258" si="9">A195&amp;":"&amp;B195</f>
        <v>9:135787004</v>
      </c>
      <c r="D195">
        <v>1</v>
      </c>
      <c r="E195" s="1">
        <v>4.8158640199999998E-2</v>
      </c>
      <c r="F195">
        <v>4</v>
      </c>
      <c r="G195">
        <v>2</v>
      </c>
      <c r="H195" s="4">
        <v>0</v>
      </c>
      <c r="I195">
        <v>10</v>
      </c>
      <c r="J195">
        <v>-49</v>
      </c>
      <c r="K195">
        <v>0</v>
      </c>
      <c r="L195">
        <v>0</v>
      </c>
      <c r="M195">
        <v>0</v>
      </c>
      <c r="N195">
        <v>0</v>
      </c>
      <c r="O195" t="str">
        <f t="shared" ref="O195:O258" si="10">IF(D195=1,"A",IF(D195=2,"G",IF(D195=3,"C",IF(D195=4,"T","2NT"))))</f>
        <v>A</v>
      </c>
      <c r="P195" t="str">
        <f t="shared" ref="P195:P258" si="11">IF(F195=1,"A",IF(F195=2,"G",IF(F195=3,"C",IF(F195=4,"T","2NT"))))</f>
        <v>T</v>
      </c>
      <c r="Q195">
        <f>IF(M195=0,0,VLOOKUP(M195,'aa codes'!$A$1:'aa codes'!$B$21,2))</f>
        <v>0</v>
      </c>
      <c r="R195">
        <f>IF(N195=0,0,VLOOKUP(N195,'aa codes'!$A$1:'aa codes'!$B$21,2))</f>
        <v>0</v>
      </c>
      <c r="S195" s="1">
        <v>4.8158640199999998E-2</v>
      </c>
      <c r="T195" s="1">
        <v>4.6632124400000002E-2</v>
      </c>
    </row>
    <row r="196" spans="1:20">
      <c r="A196">
        <v>9</v>
      </c>
      <c r="B196">
        <v>135787007</v>
      </c>
      <c r="C196" t="str">
        <f t="shared" si="9"/>
        <v>9:135787007</v>
      </c>
      <c r="D196">
        <v>3</v>
      </c>
      <c r="E196" s="1">
        <v>0.154545455</v>
      </c>
      <c r="F196">
        <v>4</v>
      </c>
      <c r="G196">
        <v>2</v>
      </c>
      <c r="H196" s="4">
        <v>0</v>
      </c>
      <c r="I196">
        <v>10</v>
      </c>
      <c r="J196">
        <v>-52</v>
      </c>
      <c r="K196">
        <v>0</v>
      </c>
      <c r="L196">
        <v>0</v>
      </c>
      <c r="M196">
        <v>0</v>
      </c>
      <c r="N196">
        <v>0</v>
      </c>
      <c r="O196" t="str">
        <f t="shared" si="10"/>
        <v>C</v>
      </c>
      <c r="P196" t="str">
        <f t="shared" si="11"/>
        <v>T</v>
      </c>
      <c r="Q196">
        <f>IF(M196=0,0,VLOOKUP(M196,'aa codes'!$A$1:'aa codes'!$B$21,2))</f>
        <v>0</v>
      </c>
      <c r="R196">
        <f>IF(N196=0,0,VLOOKUP(N196,'aa codes'!$A$1:'aa codes'!$B$21,2))</f>
        <v>0</v>
      </c>
      <c r="S196" s="1">
        <v>0.108433735</v>
      </c>
      <c r="T196" s="1">
        <v>0.154545455</v>
      </c>
    </row>
    <row r="197" spans="1:20">
      <c r="A197">
        <v>9</v>
      </c>
      <c r="B197">
        <v>135787009</v>
      </c>
      <c r="C197" t="str">
        <f t="shared" si="9"/>
        <v>9:135787009</v>
      </c>
      <c r="D197">
        <v>2</v>
      </c>
      <c r="E197" s="1">
        <v>3.8095238099999998E-2</v>
      </c>
      <c r="F197">
        <v>4</v>
      </c>
      <c r="G197">
        <v>2</v>
      </c>
      <c r="H197" s="4">
        <v>0</v>
      </c>
      <c r="I197">
        <v>10</v>
      </c>
      <c r="J197">
        <v>-54</v>
      </c>
      <c r="K197">
        <v>0</v>
      </c>
      <c r="L197">
        <v>0</v>
      </c>
      <c r="M197">
        <v>0</v>
      </c>
      <c r="N197">
        <v>0</v>
      </c>
      <c r="O197" t="str">
        <f t="shared" si="10"/>
        <v>G</v>
      </c>
      <c r="P197" t="str">
        <f t="shared" si="11"/>
        <v>T</v>
      </c>
      <c r="Q197">
        <f>IF(M197=0,0,VLOOKUP(M197,'aa codes'!$A$1:'aa codes'!$B$21,2))</f>
        <v>0</v>
      </c>
      <c r="R197">
        <f>IF(N197=0,0,VLOOKUP(N197,'aa codes'!$A$1:'aa codes'!$B$21,2))</f>
        <v>0</v>
      </c>
      <c r="S197" s="1">
        <v>2.6315789499999999E-2</v>
      </c>
      <c r="T197" s="1">
        <v>3.8095238099999998E-2</v>
      </c>
    </row>
    <row r="198" spans="1:20">
      <c r="A198">
        <v>9</v>
      </c>
      <c r="B198">
        <v>135787011</v>
      </c>
      <c r="C198" t="str">
        <f t="shared" si="9"/>
        <v>9:135787011</v>
      </c>
      <c r="D198">
        <v>4</v>
      </c>
      <c r="E198" s="1">
        <v>5.2083333300000003E-3</v>
      </c>
      <c r="F198">
        <v>1</v>
      </c>
      <c r="G198">
        <v>1</v>
      </c>
      <c r="H198" s="4">
        <v>0</v>
      </c>
      <c r="I198">
        <v>10</v>
      </c>
      <c r="J198">
        <v>-56</v>
      </c>
      <c r="K198">
        <v>0</v>
      </c>
      <c r="L198">
        <v>0</v>
      </c>
      <c r="M198">
        <v>0</v>
      </c>
      <c r="N198">
        <v>0</v>
      </c>
      <c r="O198" t="str">
        <f t="shared" si="10"/>
        <v>T</v>
      </c>
      <c r="P198" t="str">
        <f t="shared" si="11"/>
        <v>A</v>
      </c>
      <c r="Q198">
        <f>IF(M198=0,0,VLOOKUP(M198,'aa codes'!$A$1:'aa codes'!$B$21,2))</f>
        <v>0</v>
      </c>
      <c r="R198">
        <f>IF(N198=0,0,VLOOKUP(N198,'aa codes'!$A$1:'aa codes'!$B$21,2))</f>
        <v>0</v>
      </c>
      <c r="S198" s="1">
        <v>0</v>
      </c>
      <c r="T198" s="1">
        <v>5.2083333300000003E-3</v>
      </c>
    </row>
    <row r="199" spans="1:20">
      <c r="A199">
        <v>9</v>
      </c>
      <c r="B199">
        <v>135787012</v>
      </c>
      <c r="C199" t="str">
        <f t="shared" si="9"/>
        <v>9:135787012</v>
      </c>
      <c r="D199">
        <v>4</v>
      </c>
      <c r="E199" s="1">
        <v>7.3800738000000003E-3</v>
      </c>
      <c r="F199">
        <v>1</v>
      </c>
      <c r="G199">
        <v>1</v>
      </c>
      <c r="H199" s="4">
        <v>0</v>
      </c>
      <c r="I199">
        <v>10</v>
      </c>
      <c r="J199">
        <v>-57</v>
      </c>
      <c r="K199">
        <v>0</v>
      </c>
      <c r="L199">
        <v>0</v>
      </c>
      <c r="M199">
        <v>0</v>
      </c>
      <c r="N199">
        <v>0</v>
      </c>
      <c r="O199" t="str">
        <f t="shared" si="10"/>
        <v>T</v>
      </c>
      <c r="P199" t="str">
        <f t="shared" si="11"/>
        <v>A</v>
      </c>
      <c r="Q199">
        <f>IF(M199=0,0,VLOOKUP(M199,'aa codes'!$A$1:'aa codes'!$B$21,2))</f>
        <v>0</v>
      </c>
      <c r="R199">
        <f>IF(N199=0,0,VLOOKUP(N199,'aa codes'!$A$1:'aa codes'!$B$21,2))</f>
        <v>0</v>
      </c>
      <c r="S199" s="1">
        <v>2.83286119E-3</v>
      </c>
      <c r="T199" s="1">
        <v>7.3800738000000003E-3</v>
      </c>
    </row>
    <row r="200" spans="1:20">
      <c r="A200">
        <v>9</v>
      </c>
      <c r="B200">
        <v>135787013</v>
      </c>
      <c r="C200" t="str">
        <f t="shared" si="9"/>
        <v>9:135787013</v>
      </c>
      <c r="D200">
        <v>1</v>
      </c>
      <c r="E200" s="1">
        <v>6.2305295999999996E-3</v>
      </c>
      <c r="F200">
        <v>4</v>
      </c>
      <c r="G200">
        <v>1</v>
      </c>
      <c r="H200" s="4">
        <v>0</v>
      </c>
      <c r="I200">
        <v>10</v>
      </c>
      <c r="J200">
        <v>-58</v>
      </c>
      <c r="K200">
        <v>0</v>
      </c>
      <c r="L200">
        <v>0</v>
      </c>
      <c r="M200">
        <v>0</v>
      </c>
      <c r="N200">
        <v>0</v>
      </c>
      <c r="O200" t="str">
        <f t="shared" si="10"/>
        <v>A</v>
      </c>
      <c r="P200" t="str">
        <f t="shared" si="11"/>
        <v>T</v>
      </c>
      <c r="Q200">
        <f>IF(M200=0,0,VLOOKUP(M200,'aa codes'!$A$1:'aa codes'!$B$21,2))</f>
        <v>0</v>
      </c>
      <c r="R200">
        <f>IF(N200=0,0,VLOOKUP(N200,'aa codes'!$A$1:'aa codes'!$B$21,2))</f>
        <v>0</v>
      </c>
      <c r="S200" s="1">
        <v>6.2305295999999996E-3</v>
      </c>
      <c r="T200" s="1">
        <v>0</v>
      </c>
    </row>
    <row r="201" spans="1:20">
      <c r="A201">
        <v>9</v>
      </c>
      <c r="B201">
        <v>135787014</v>
      </c>
      <c r="C201" t="str">
        <f t="shared" si="9"/>
        <v>9:135787014</v>
      </c>
      <c r="D201">
        <v>1</v>
      </c>
      <c r="E201" s="1">
        <v>1.08991826E-2</v>
      </c>
      <c r="F201">
        <v>4</v>
      </c>
      <c r="G201">
        <v>2</v>
      </c>
      <c r="H201" s="4">
        <v>0</v>
      </c>
      <c r="I201">
        <v>10</v>
      </c>
      <c r="J201">
        <v>-59</v>
      </c>
      <c r="K201">
        <v>0</v>
      </c>
      <c r="L201">
        <v>0</v>
      </c>
      <c r="M201">
        <v>0</v>
      </c>
      <c r="N201">
        <v>0</v>
      </c>
      <c r="O201" t="str">
        <f t="shared" si="10"/>
        <v>A</v>
      </c>
      <c r="P201" t="str">
        <f t="shared" si="11"/>
        <v>T</v>
      </c>
      <c r="Q201">
        <f>IF(M201=0,0,VLOOKUP(M201,'aa codes'!$A$1:'aa codes'!$B$21,2))</f>
        <v>0</v>
      </c>
      <c r="R201">
        <f>IF(N201=0,0,VLOOKUP(N201,'aa codes'!$A$1:'aa codes'!$B$21,2))</f>
        <v>0</v>
      </c>
      <c r="S201" s="1">
        <v>1.08991826E-2</v>
      </c>
      <c r="T201" s="1">
        <v>6.2695924799999999E-3</v>
      </c>
    </row>
    <row r="202" spans="1:20">
      <c r="A202">
        <v>9</v>
      </c>
      <c r="B202">
        <v>135787044</v>
      </c>
      <c r="C202" t="str">
        <f t="shared" si="9"/>
        <v>9:135787044</v>
      </c>
      <c r="D202">
        <v>2</v>
      </c>
      <c r="E202" s="1">
        <v>2.5862069000000001E-2</v>
      </c>
      <c r="F202">
        <v>1</v>
      </c>
      <c r="G202">
        <v>2</v>
      </c>
      <c r="H202" s="4">
        <v>0</v>
      </c>
      <c r="I202">
        <v>10</v>
      </c>
      <c r="J202">
        <v>-89</v>
      </c>
      <c r="K202">
        <v>0</v>
      </c>
      <c r="L202">
        <v>0</v>
      </c>
      <c r="M202">
        <v>0</v>
      </c>
      <c r="N202">
        <v>0</v>
      </c>
      <c r="O202" t="str">
        <f t="shared" si="10"/>
        <v>G</v>
      </c>
      <c r="P202" t="str">
        <f t="shared" si="11"/>
        <v>A</v>
      </c>
      <c r="Q202">
        <f>IF(M202=0,0,VLOOKUP(M202,'aa codes'!$A$1:'aa codes'!$B$21,2))</f>
        <v>0</v>
      </c>
      <c r="R202">
        <f>IF(N202=0,0,VLOOKUP(N202,'aa codes'!$A$1:'aa codes'!$B$21,2))</f>
        <v>0</v>
      </c>
      <c r="S202" s="1">
        <v>2.3148148100000002E-2</v>
      </c>
      <c r="T202" s="1">
        <v>2.5862069000000001E-2</v>
      </c>
    </row>
    <row r="203" spans="1:20">
      <c r="A203">
        <v>9</v>
      </c>
      <c r="B203">
        <v>135787048</v>
      </c>
      <c r="C203" t="str">
        <f t="shared" si="9"/>
        <v>9:135787048</v>
      </c>
      <c r="D203">
        <v>2</v>
      </c>
      <c r="E203" s="1">
        <v>4.6692606999999997E-2</v>
      </c>
      <c r="F203">
        <v>4</v>
      </c>
      <c r="G203">
        <v>2</v>
      </c>
      <c r="H203" s="4">
        <v>0</v>
      </c>
      <c r="I203">
        <v>10</v>
      </c>
      <c r="J203">
        <v>-93</v>
      </c>
      <c r="K203">
        <v>0</v>
      </c>
      <c r="L203">
        <v>0</v>
      </c>
      <c r="M203">
        <v>0</v>
      </c>
      <c r="N203">
        <v>0</v>
      </c>
      <c r="O203" t="str">
        <f t="shared" si="10"/>
        <v>G</v>
      </c>
      <c r="P203" t="str">
        <f t="shared" si="11"/>
        <v>T</v>
      </c>
      <c r="Q203">
        <f>IF(M203=0,0,VLOOKUP(M203,'aa codes'!$A$1:'aa codes'!$B$21,2))</f>
        <v>0</v>
      </c>
      <c r="R203">
        <f>IF(N203=0,0,VLOOKUP(N203,'aa codes'!$A$1:'aa codes'!$B$21,2))</f>
        <v>0</v>
      </c>
      <c r="S203" s="1">
        <v>1.6985138E-2</v>
      </c>
      <c r="T203" s="1">
        <v>4.6692606999999997E-2</v>
      </c>
    </row>
    <row r="204" spans="1:20">
      <c r="A204">
        <v>9</v>
      </c>
      <c r="B204">
        <v>135787049</v>
      </c>
      <c r="C204" t="str">
        <f t="shared" si="9"/>
        <v>9:135787049</v>
      </c>
      <c r="D204">
        <v>4</v>
      </c>
      <c r="E204" s="1">
        <v>6.9930069899999999E-3</v>
      </c>
      <c r="F204">
        <v>3</v>
      </c>
      <c r="G204">
        <v>1</v>
      </c>
      <c r="H204" s="4">
        <v>0</v>
      </c>
      <c r="I204">
        <v>10</v>
      </c>
      <c r="J204">
        <v>-94</v>
      </c>
      <c r="K204">
        <v>0</v>
      </c>
      <c r="L204">
        <v>0</v>
      </c>
      <c r="M204">
        <v>0</v>
      </c>
      <c r="N204">
        <v>0</v>
      </c>
      <c r="O204" t="str">
        <f t="shared" si="10"/>
        <v>T</v>
      </c>
      <c r="P204" t="str">
        <f t="shared" si="11"/>
        <v>C</v>
      </c>
      <c r="Q204">
        <f>IF(M204=0,0,VLOOKUP(M204,'aa codes'!$A$1:'aa codes'!$B$21,2))</f>
        <v>0</v>
      </c>
      <c r="R204">
        <f>IF(N204=0,0,VLOOKUP(N204,'aa codes'!$A$1:'aa codes'!$B$21,2))</f>
        <v>0</v>
      </c>
      <c r="S204" s="1">
        <v>1.9569471599999999E-3</v>
      </c>
      <c r="T204" s="1">
        <v>6.9930069899999999E-3</v>
      </c>
    </row>
    <row r="205" spans="1:20">
      <c r="A205">
        <v>9</v>
      </c>
      <c r="B205">
        <v>135787051</v>
      </c>
      <c r="C205" t="str">
        <f t="shared" si="9"/>
        <v>9:135787051</v>
      </c>
      <c r="D205">
        <v>3</v>
      </c>
      <c r="E205" s="1">
        <v>3.0303030299999999E-2</v>
      </c>
      <c r="F205">
        <v>4</v>
      </c>
      <c r="G205">
        <v>1</v>
      </c>
      <c r="H205" s="4">
        <v>0</v>
      </c>
      <c r="I205">
        <v>10</v>
      </c>
      <c r="J205">
        <v>-96</v>
      </c>
      <c r="K205">
        <v>0</v>
      </c>
      <c r="L205">
        <v>0</v>
      </c>
      <c r="M205">
        <v>0</v>
      </c>
      <c r="N205">
        <v>0</v>
      </c>
      <c r="O205" t="str">
        <f t="shared" si="10"/>
        <v>C</v>
      </c>
      <c r="P205" t="str">
        <f t="shared" si="11"/>
        <v>T</v>
      </c>
      <c r="Q205">
        <f>IF(M205=0,0,VLOOKUP(M205,'aa codes'!$A$1:'aa codes'!$B$21,2))</f>
        <v>0</v>
      </c>
      <c r="R205">
        <f>IF(N205=0,0,VLOOKUP(N205,'aa codes'!$A$1:'aa codes'!$B$21,2))</f>
        <v>0</v>
      </c>
      <c r="S205" s="1">
        <v>4.0899795500000001E-3</v>
      </c>
      <c r="T205" s="1">
        <v>3.0303030299999999E-2</v>
      </c>
    </row>
    <row r="206" spans="1:20">
      <c r="A206">
        <v>9</v>
      </c>
      <c r="B206">
        <v>135787053</v>
      </c>
      <c r="C206" t="str">
        <f t="shared" si="9"/>
        <v>9:135787053</v>
      </c>
      <c r="D206">
        <v>3</v>
      </c>
      <c r="E206" s="1">
        <v>1.16731518E-2</v>
      </c>
      <c r="F206">
        <v>4</v>
      </c>
      <c r="G206">
        <v>2</v>
      </c>
      <c r="H206" s="4">
        <v>0</v>
      </c>
      <c r="I206">
        <v>10</v>
      </c>
      <c r="J206">
        <v>-98</v>
      </c>
      <c r="K206">
        <v>0</v>
      </c>
      <c r="L206">
        <v>0</v>
      </c>
      <c r="M206">
        <v>0</v>
      </c>
      <c r="N206">
        <v>0</v>
      </c>
      <c r="O206" t="str">
        <f t="shared" si="10"/>
        <v>C</v>
      </c>
      <c r="P206" t="str">
        <f t="shared" si="11"/>
        <v>T</v>
      </c>
      <c r="Q206">
        <f>IF(M206=0,0,VLOOKUP(M206,'aa codes'!$A$1:'aa codes'!$B$21,2))</f>
        <v>0</v>
      </c>
      <c r="R206">
        <f>IF(N206=0,0,VLOOKUP(N206,'aa codes'!$A$1:'aa codes'!$B$21,2))</f>
        <v>0</v>
      </c>
      <c r="S206" s="1">
        <v>1.0438413400000001E-2</v>
      </c>
      <c r="T206" s="1">
        <v>1.16731518E-2</v>
      </c>
    </row>
    <row r="207" spans="1:20">
      <c r="A207">
        <v>9</v>
      </c>
      <c r="B207">
        <v>135787056</v>
      </c>
      <c r="C207" t="str">
        <f t="shared" si="9"/>
        <v>9:135787056</v>
      </c>
      <c r="D207">
        <v>2</v>
      </c>
      <c r="E207" s="1">
        <v>6.4981949499999997E-2</v>
      </c>
      <c r="F207">
        <v>1</v>
      </c>
      <c r="G207">
        <v>2</v>
      </c>
      <c r="H207" s="4">
        <v>0</v>
      </c>
      <c r="I207">
        <v>10</v>
      </c>
      <c r="J207">
        <v>-101</v>
      </c>
      <c r="K207">
        <v>0</v>
      </c>
      <c r="L207">
        <v>0</v>
      </c>
      <c r="M207">
        <v>0</v>
      </c>
      <c r="N207">
        <v>0</v>
      </c>
      <c r="O207" t="str">
        <f t="shared" si="10"/>
        <v>G</v>
      </c>
      <c r="P207" t="str">
        <f t="shared" si="11"/>
        <v>A</v>
      </c>
      <c r="Q207">
        <f>IF(M207=0,0,VLOOKUP(M207,'aa codes'!$A$1:'aa codes'!$B$21,2))</f>
        <v>0</v>
      </c>
      <c r="R207">
        <f>IF(N207=0,0,VLOOKUP(N207,'aa codes'!$A$1:'aa codes'!$B$21,2))</f>
        <v>0</v>
      </c>
      <c r="S207" s="1">
        <v>3.7181996100000003E-2</v>
      </c>
      <c r="T207" s="1">
        <v>6.4981949499999997E-2</v>
      </c>
    </row>
    <row r="208" spans="1:20">
      <c r="A208">
        <v>9</v>
      </c>
      <c r="B208">
        <v>135787060</v>
      </c>
      <c r="C208" t="str">
        <f t="shared" si="9"/>
        <v>9:135787060</v>
      </c>
      <c r="D208">
        <v>1</v>
      </c>
      <c r="E208" s="1">
        <v>4.21052632E-2</v>
      </c>
      <c r="F208">
        <v>4</v>
      </c>
      <c r="G208">
        <v>2</v>
      </c>
      <c r="H208" s="4">
        <v>0</v>
      </c>
      <c r="I208">
        <v>10</v>
      </c>
      <c r="J208">
        <v>-105</v>
      </c>
      <c r="K208">
        <v>0</v>
      </c>
      <c r="L208">
        <v>0</v>
      </c>
      <c r="M208">
        <v>0</v>
      </c>
      <c r="N208">
        <v>0</v>
      </c>
      <c r="O208" t="str">
        <f t="shared" si="10"/>
        <v>A</v>
      </c>
      <c r="P208" t="str">
        <f t="shared" si="11"/>
        <v>T</v>
      </c>
      <c r="Q208">
        <f>IF(M208=0,0,VLOOKUP(M208,'aa codes'!$A$1:'aa codes'!$B$21,2))</f>
        <v>0</v>
      </c>
      <c r="R208">
        <f>IF(N208=0,0,VLOOKUP(N208,'aa codes'!$A$1:'aa codes'!$B$21,2))</f>
        <v>0</v>
      </c>
      <c r="S208" s="1">
        <v>3.50553506E-2</v>
      </c>
      <c r="T208" s="1">
        <v>4.21052632E-2</v>
      </c>
    </row>
    <row r="209" spans="1:20">
      <c r="A209">
        <v>9</v>
      </c>
      <c r="B209">
        <v>135787064</v>
      </c>
      <c r="C209" t="str">
        <f t="shared" si="9"/>
        <v>9:135787064</v>
      </c>
      <c r="D209">
        <v>2</v>
      </c>
      <c r="E209" s="1">
        <v>1.6181229799999999E-2</v>
      </c>
      <c r="F209">
        <v>4</v>
      </c>
      <c r="G209">
        <v>2</v>
      </c>
      <c r="H209" s="4">
        <v>0</v>
      </c>
      <c r="I209">
        <v>10</v>
      </c>
      <c r="J209">
        <v>-109</v>
      </c>
      <c r="K209">
        <v>0</v>
      </c>
      <c r="L209">
        <v>0</v>
      </c>
      <c r="M209">
        <v>0</v>
      </c>
      <c r="N209">
        <v>0</v>
      </c>
      <c r="O209" t="str">
        <f t="shared" si="10"/>
        <v>G</v>
      </c>
      <c r="P209" t="str">
        <f t="shared" si="11"/>
        <v>T</v>
      </c>
      <c r="Q209">
        <f>IF(M209=0,0,VLOOKUP(M209,'aa codes'!$A$1:'aa codes'!$B$21,2))</f>
        <v>0</v>
      </c>
      <c r="R209">
        <f>IF(N209=0,0,VLOOKUP(N209,'aa codes'!$A$1:'aa codes'!$B$21,2))</f>
        <v>0</v>
      </c>
      <c r="S209" s="1">
        <v>8.9766606799999999E-3</v>
      </c>
      <c r="T209" s="1">
        <v>1.6181229799999999E-2</v>
      </c>
    </row>
    <row r="210" spans="1:20">
      <c r="A210">
        <v>9</v>
      </c>
      <c r="B210">
        <v>135787066</v>
      </c>
      <c r="C210" t="str">
        <f t="shared" si="9"/>
        <v>9:135787066</v>
      </c>
      <c r="D210">
        <v>4</v>
      </c>
      <c r="E210" s="1">
        <v>2.5974026000000001E-2</v>
      </c>
      <c r="F210">
        <v>1</v>
      </c>
      <c r="G210">
        <v>2</v>
      </c>
      <c r="H210" s="4">
        <v>0</v>
      </c>
      <c r="I210">
        <v>10</v>
      </c>
      <c r="J210">
        <v>-111</v>
      </c>
      <c r="K210">
        <v>0</v>
      </c>
      <c r="L210">
        <v>0</v>
      </c>
      <c r="M210">
        <v>0</v>
      </c>
      <c r="N210">
        <v>0</v>
      </c>
      <c r="O210" t="str">
        <f t="shared" si="10"/>
        <v>T</v>
      </c>
      <c r="P210" t="str">
        <f t="shared" si="11"/>
        <v>A</v>
      </c>
      <c r="Q210">
        <f>IF(M210=0,0,VLOOKUP(M210,'aa codes'!$A$1:'aa codes'!$B$21,2))</f>
        <v>0</v>
      </c>
      <c r="R210">
        <f>IF(N210=0,0,VLOOKUP(N210,'aa codes'!$A$1:'aa codes'!$B$21,2))</f>
        <v>0</v>
      </c>
      <c r="S210" s="1">
        <v>1.43884892E-2</v>
      </c>
      <c r="T210" s="1">
        <v>2.5974026000000001E-2</v>
      </c>
    </row>
    <row r="211" spans="1:20">
      <c r="A211">
        <v>9</v>
      </c>
      <c r="B211">
        <v>135787069</v>
      </c>
      <c r="C211" t="str">
        <f t="shared" si="9"/>
        <v>9:135787069</v>
      </c>
      <c r="D211">
        <v>4</v>
      </c>
      <c r="E211" s="1">
        <v>1.8808777400000001E-2</v>
      </c>
      <c r="F211">
        <v>1</v>
      </c>
      <c r="G211">
        <v>2</v>
      </c>
      <c r="H211" s="4">
        <v>0</v>
      </c>
      <c r="I211">
        <v>10</v>
      </c>
      <c r="J211">
        <v>-114</v>
      </c>
      <c r="K211">
        <v>0</v>
      </c>
      <c r="L211">
        <v>0</v>
      </c>
      <c r="M211">
        <v>0</v>
      </c>
      <c r="N211">
        <v>0</v>
      </c>
      <c r="O211" t="str">
        <f t="shared" si="10"/>
        <v>T</v>
      </c>
      <c r="P211" t="str">
        <f t="shared" si="11"/>
        <v>A</v>
      </c>
      <c r="Q211">
        <f>IF(M211=0,0,VLOOKUP(M211,'aa codes'!$A$1:'aa codes'!$B$21,2))</f>
        <v>0</v>
      </c>
      <c r="R211">
        <f>IF(N211=0,0,VLOOKUP(N211,'aa codes'!$A$1:'aa codes'!$B$21,2))</f>
        <v>0</v>
      </c>
      <c r="S211" s="1">
        <v>1.0434782599999999E-2</v>
      </c>
      <c r="T211" s="1">
        <v>1.8808777400000001E-2</v>
      </c>
    </row>
    <row r="212" spans="1:20">
      <c r="A212">
        <v>9</v>
      </c>
      <c r="B212">
        <v>135787073</v>
      </c>
      <c r="C212" t="str">
        <f t="shared" si="9"/>
        <v>9:135787073</v>
      </c>
      <c r="D212">
        <v>3</v>
      </c>
      <c r="E212" s="1">
        <v>2.04678363E-2</v>
      </c>
      <c r="F212">
        <v>1</v>
      </c>
      <c r="G212">
        <v>2</v>
      </c>
      <c r="H212" s="4">
        <v>0</v>
      </c>
      <c r="I212">
        <v>10</v>
      </c>
      <c r="J212">
        <v>-118</v>
      </c>
      <c r="K212">
        <v>0</v>
      </c>
      <c r="L212">
        <v>0</v>
      </c>
      <c r="M212">
        <v>0</v>
      </c>
      <c r="N212">
        <v>0</v>
      </c>
      <c r="O212" t="str">
        <f t="shared" si="10"/>
        <v>C</v>
      </c>
      <c r="P212" t="str">
        <f t="shared" si="11"/>
        <v>A</v>
      </c>
      <c r="Q212">
        <f>IF(M212=0,0,VLOOKUP(M212,'aa codes'!$A$1:'aa codes'!$B$21,2))</f>
        <v>0</v>
      </c>
      <c r="R212">
        <f>IF(N212=0,0,VLOOKUP(N212,'aa codes'!$A$1:'aa codes'!$B$21,2))</f>
        <v>0</v>
      </c>
      <c r="S212" s="1">
        <v>1.7699115000000001E-2</v>
      </c>
      <c r="T212" s="1">
        <v>2.04678363E-2</v>
      </c>
    </row>
    <row r="213" spans="1:20">
      <c r="A213">
        <v>9</v>
      </c>
      <c r="B213">
        <v>135787080</v>
      </c>
      <c r="C213" t="str">
        <f t="shared" si="9"/>
        <v>9:135787080</v>
      </c>
      <c r="D213">
        <v>3</v>
      </c>
      <c r="E213" s="1">
        <v>8.1300812999999996E-3</v>
      </c>
      <c r="F213">
        <v>4</v>
      </c>
      <c r="G213">
        <v>2</v>
      </c>
      <c r="H213" s="4">
        <v>0</v>
      </c>
      <c r="I213">
        <v>10</v>
      </c>
      <c r="J213">
        <v>-125</v>
      </c>
      <c r="K213">
        <v>0</v>
      </c>
      <c r="L213">
        <v>0</v>
      </c>
      <c r="M213">
        <v>0</v>
      </c>
      <c r="N213">
        <v>0</v>
      </c>
      <c r="O213" t="str">
        <f t="shared" si="10"/>
        <v>C</v>
      </c>
      <c r="P213" t="str">
        <f t="shared" si="11"/>
        <v>T</v>
      </c>
      <c r="Q213">
        <f>IF(M213=0,0,VLOOKUP(M213,'aa codes'!$A$1:'aa codes'!$B$21,2))</f>
        <v>0</v>
      </c>
      <c r="R213">
        <f>IF(N213=0,0,VLOOKUP(N213,'aa codes'!$A$1:'aa codes'!$B$21,2))</f>
        <v>0</v>
      </c>
      <c r="S213" s="1">
        <v>8.1037277099999996E-3</v>
      </c>
      <c r="T213" s="1">
        <v>8.1300812999999996E-3</v>
      </c>
    </row>
    <row r="214" spans="1:20">
      <c r="A214">
        <v>9</v>
      </c>
      <c r="B214">
        <v>135787082</v>
      </c>
      <c r="C214" t="str">
        <f t="shared" si="9"/>
        <v>9:135787082</v>
      </c>
      <c r="D214">
        <v>2</v>
      </c>
      <c r="E214" s="1">
        <v>1.05820106E-2</v>
      </c>
      <c r="F214">
        <v>4</v>
      </c>
      <c r="G214">
        <v>1</v>
      </c>
      <c r="H214" s="4">
        <v>0</v>
      </c>
      <c r="I214">
        <v>10</v>
      </c>
      <c r="J214">
        <v>-127</v>
      </c>
      <c r="K214">
        <v>0</v>
      </c>
      <c r="L214">
        <v>0</v>
      </c>
      <c r="M214">
        <v>0</v>
      </c>
      <c r="N214">
        <v>0</v>
      </c>
      <c r="O214" t="str">
        <f t="shared" si="10"/>
        <v>G</v>
      </c>
      <c r="P214" t="str">
        <f t="shared" si="11"/>
        <v>T</v>
      </c>
      <c r="Q214">
        <f>IF(M214=0,0,VLOOKUP(M214,'aa codes'!$A$1:'aa codes'!$B$21,2))</f>
        <v>0</v>
      </c>
      <c r="R214">
        <f>IF(N214=0,0,VLOOKUP(N214,'aa codes'!$A$1:'aa codes'!$B$21,2))</f>
        <v>0</v>
      </c>
      <c r="S214" s="1">
        <v>1.6313213700000001E-3</v>
      </c>
      <c r="T214" s="1">
        <v>1.05820106E-2</v>
      </c>
    </row>
    <row r="215" spans="1:20">
      <c r="A215">
        <v>9</v>
      </c>
      <c r="B215">
        <v>135787083</v>
      </c>
      <c r="C215" t="str">
        <f t="shared" si="9"/>
        <v>9:135787083</v>
      </c>
      <c r="D215">
        <v>4</v>
      </c>
      <c r="E215" s="1">
        <v>5.0505050500000001E-3</v>
      </c>
      <c r="F215">
        <v>1</v>
      </c>
      <c r="G215">
        <v>1</v>
      </c>
      <c r="H215" s="4">
        <v>0</v>
      </c>
      <c r="I215">
        <v>10</v>
      </c>
      <c r="J215">
        <v>-128</v>
      </c>
      <c r="K215">
        <v>0</v>
      </c>
      <c r="L215">
        <v>0</v>
      </c>
      <c r="M215">
        <v>0</v>
      </c>
      <c r="N215">
        <v>0</v>
      </c>
      <c r="O215" t="str">
        <f t="shared" si="10"/>
        <v>T</v>
      </c>
      <c r="P215" t="str">
        <f t="shared" si="11"/>
        <v>A</v>
      </c>
      <c r="Q215">
        <f>IF(M215=0,0,VLOOKUP(M215,'aa codes'!$A$1:'aa codes'!$B$21,2))</f>
        <v>0</v>
      </c>
      <c r="R215">
        <f>IF(N215=0,0,VLOOKUP(N215,'aa codes'!$A$1:'aa codes'!$B$21,2))</f>
        <v>0</v>
      </c>
      <c r="S215" s="1">
        <v>4.5941806999999996E-3</v>
      </c>
      <c r="T215" s="1">
        <v>5.0505050500000001E-3</v>
      </c>
    </row>
    <row r="216" spans="1:20">
      <c r="A216">
        <v>9</v>
      </c>
      <c r="B216">
        <v>135787087</v>
      </c>
      <c r="C216" t="str">
        <f t="shared" si="9"/>
        <v>9:135787087</v>
      </c>
      <c r="D216">
        <v>4</v>
      </c>
      <c r="E216" s="1">
        <v>1.12107623E-2</v>
      </c>
      <c r="F216">
        <v>1</v>
      </c>
      <c r="G216">
        <v>2</v>
      </c>
      <c r="H216" s="4">
        <v>0</v>
      </c>
      <c r="I216">
        <v>10</v>
      </c>
      <c r="J216">
        <v>-132</v>
      </c>
      <c r="K216">
        <v>0</v>
      </c>
      <c r="L216">
        <v>0</v>
      </c>
      <c r="M216">
        <v>0</v>
      </c>
      <c r="N216">
        <v>0</v>
      </c>
      <c r="O216" t="str">
        <f t="shared" si="10"/>
        <v>T</v>
      </c>
      <c r="P216" t="str">
        <f t="shared" si="11"/>
        <v>A</v>
      </c>
      <c r="Q216">
        <f>IF(M216=0,0,VLOOKUP(M216,'aa codes'!$A$1:'aa codes'!$B$21,2))</f>
        <v>0</v>
      </c>
      <c r="R216">
        <f>IF(N216=0,0,VLOOKUP(N216,'aa codes'!$A$1:'aa codes'!$B$21,2))</f>
        <v>0</v>
      </c>
      <c r="S216" s="1">
        <v>9.1047040999999995E-3</v>
      </c>
      <c r="T216" s="1">
        <v>1.12107623E-2</v>
      </c>
    </row>
    <row r="217" spans="1:20">
      <c r="A217">
        <v>9</v>
      </c>
      <c r="B217">
        <v>135788328</v>
      </c>
      <c r="C217" t="str">
        <f t="shared" si="9"/>
        <v>9:135788328</v>
      </c>
      <c r="D217">
        <v>3</v>
      </c>
      <c r="E217" s="1">
        <v>6.3291139199999997E-3</v>
      </c>
      <c r="F217">
        <v>4</v>
      </c>
      <c r="G217">
        <v>2</v>
      </c>
      <c r="H217" s="4">
        <v>0</v>
      </c>
      <c r="I217">
        <v>9</v>
      </c>
      <c r="J217">
        <v>-484</v>
      </c>
      <c r="K217">
        <v>0</v>
      </c>
      <c r="L217">
        <v>0</v>
      </c>
      <c r="M217">
        <v>0</v>
      </c>
      <c r="N217">
        <v>0</v>
      </c>
      <c r="O217" t="str">
        <f t="shared" si="10"/>
        <v>C</v>
      </c>
      <c r="P217" t="str">
        <f t="shared" si="11"/>
        <v>T</v>
      </c>
      <c r="Q217">
        <f>IF(M217=0,0,VLOOKUP(M217,'aa codes'!$A$1:'aa codes'!$B$21,2))</f>
        <v>0</v>
      </c>
      <c r="R217">
        <f>IF(N217=0,0,VLOOKUP(N217,'aa codes'!$A$1:'aa codes'!$B$21,2))</f>
        <v>0</v>
      </c>
      <c r="S217" s="1">
        <v>5.2137643399999996E-3</v>
      </c>
      <c r="T217" s="1">
        <v>6.3291139199999997E-3</v>
      </c>
    </row>
    <row r="218" spans="1:20">
      <c r="A218">
        <v>9</v>
      </c>
      <c r="B218">
        <v>135788340</v>
      </c>
      <c r="C218" t="str">
        <f t="shared" si="9"/>
        <v>9:135788340</v>
      </c>
      <c r="D218">
        <v>4</v>
      </c>
      <c r="E218" s="1">
        <v>6.7264574000000001E-3</v>
      </c>
      <c r="F218">
        <v>3</v>
      </c>
      <c r="G218">
        <v>2</v>
      </c>
      <c r="H218" s="4">
        <v>0</v>
      </c>
      <c r="I218">
        <v>9</v>
      </c>
      <c r="J218">
        <v>-496</v>
      </c>
      <c r="K218">
        <v>0</v>
      </c>
      <c r="L218">
        <v>0</v>
      </c>
      <c r="M218">
        <v>0</v>
      </c>
      <c r="N218">
        <v>0</v>
      </c>
      <c r="O218" t="str">
        <f t="shared" si="10"/>
        <v>T</v>
      </c>
      <c r="P218" t="str">
        <f t="shared" si="11"/>
        <v>C</v>
      </c>
      <c r="Q218">
        <f>IF(M218=0,0,VLOOKUP(M218,'aa codes'!$A$1:'aa codes'!$B$21,2))</f>
        <v>0</v>
      </c>
      <c r="R218">
        <f>IF(N218=0,0,VLOOKUP(N218,'aa codes'!$A$1:'aa codes'!$B$21,2))</f>
        <v>0</v>
      </c>
      <c r="S218" s="1">
        <v>6.6115702499999996E-3</v>
      </c>
      <c r="T218" s="1">
        <v>6.7264574000000001E-3</v>
      </c>
    </row>
    <row r="219" spans="1:20">
      <c r="A219">
        <v>9</v>
      </c>
      <c r="B219">
        <v>135788342</v>
      </c>
      <c r="C219" t="str">
        <f t="shared" si="9"/>
        <v>9:135788342</v>
      </c>
      <c r="D219">
        <v>3</v>
      </c>
      <c r="E219" s="1">
        <v>1.7857142900000001E-2</v>
      </c>
      <c r="F219">
        <v>4</v>
      </c>
      <c r="G219">
        <v>2</v>
      </c>
      <c r="H219" s="4">
        <v>0</v>
      </c>
      <c r="I219">
        <v>9</v>
      </c>
      <c r="J219">
        <v>-498</v>
      </c>
      <c r="K219">
        <v>0</v>
      </c>
      <c r="L219">
        <v>0</v>
      </c>
      <c r="M219">
        <v>0</v>
      </c>
      <c r="N219">
        <v>0</v>
      </c>
      <c r="O219" t="str">
        <f t="shared" si="10"/>
        <v>C</v>
      </c>
      <c r="P219" t="str">
        <f t="shared" si="11"/>
        <v>T</v>
      </c>
      <c r="Q219">
        <f>IF(M219=0,0,VLOOKUP(M219,'aa codes'!$A$1:'aa codes'!$B$21,2))</f>
        <v>0</v>
      </c>
      <c r="R219">
        <f>IF(N219=0,0,VLOOKUP(N219,'aa codes'!$A$1:'aa codes'!$B$21,2))</f>
        <v>0</v>
      </c>
      <c r="S219" s="1">
        <v>1.7857142900000001E-2</v>
      </c>
      <c r="T219" s="1">
        <v>9.9255583100000006E-3</v>
      </c>
    </row>
    <row r="220" spans="1:20">
      <c r="A220">
        <v>9</v>
      </c>
      <c r="B220">
        <v>135788397</v>
      </c>
      <c r="C220" t="str">
        <f t="shared" si="9"/>
        <v>9:135788397</v>
      </c>
      <c r="D220">
        <v>2</v>
      </c>
      <c r="E220" s="1">
        <v>7.1428571400000002E-3</v>
      </c>
      <c r="F220">
        <v>1</v>
      </c>
      <c r="G220">
        <v>1</v>
      </c>
      <c r="H220" s="4">
        <v>0</v>
      </c>
      <c r="I220">
        <v>9</v>
      </c>
      <c r="J220">
        <v>-553</v>
      </c>
      <c r="K220">
        <v>0</v>
      </c>
      <c r="L220">
        <v>0</v>
      </c>
      <c r="M220">
        <v>0</v>
      </c>
      <c r="N220">
        <v>0</v>
      </c>
      <c r="O220" t="str">
        <f t="shared" si="10"/>
        <v>G</v>
      </c>
      <c r="P220" t="str">
        <f t="shared" si="11"/>
        <v>A</v>
      </c>
      <c r="Q220">
        <f>IF(M220=0,0,VLOOKUP(M220,'aa codes'!$A$1:'aa codes'!$B$21,2))</f>
        <v>0</v>
      </c>
      <c r="R220">
        <f>IF(N220=0,0,VLOOKUP(N220,'aa codes'!$A$1:'aa codes'!$B$21,2))</f>
        <v>0</v>
      </c>
      <c r="S220" s="1">
        <v>2.4449877799999999E-3</v>
      </c>
      <c r="T220" s="1">
        <v>7.1428571400000002E-3</v>
      </c>
    </row>
    <row r="221" spans="1:20">
      <c r="A221">
        <v>9</v>
      </c>
      <c r="B221">
        <v>135788428</v>
      </c>
      <c r="C221" t="str">
        <f t="shared" si="9"/>
        <v>9:135788428</v>
      </c>
      <c r="D221">
        <v>2</v>
      </c>
      <c r="E221" s="1">
        <v>5.5248618799999998E-3</v>
      </c>
      <c r="F221">
        <v>1</v>
      </c>
      <c r="G221">
        <v>1</v>
      </c>
      <c r="H221" s="4">
        <v>3.2499999999999997E-5</v>
      </c>
      <c r="I221">
        <v>9</v>
      </c>
      <c r="J221">
        <v>-584</v>
      </c>
      <c r="K221">
        <v>0</v>
      </c>
      <c r="L221">
        <v>0</v>
      </c>
      <c r="M221">
        <v>0</v>
      </c>
      <c r="N221">
        <v>0</v>
      </c>
      <c r="O221" t="str">
        <f t="shared" si="10"/>
        <v>G</v>
      </c>
      <c r="P221" t="str">
        <f t="shared" si="11"/>
        <v>A</v>
      </c>
      <c r="Q221">
        <f>IF(M221=0,0,VLOOKUP(M221,'aa codes'!$A$1:'aa codes'!$B$21,2))</f>
        <v>0</v>
      </c>
      <c r="R221">
        <f>IF(N221=0,0,VLOOKUP(N221,'aa codes'!$A$1:'aa codes'!$B$21,2))</f>
        <v>0</v>
      </c>
      <c r="S221" s="1">
        <v>5.5248618799999998E-3</v>
      </c>
      <c r="T221" s="1">
        <v>0</v>
      </c>
    </row>
    <row r="222" spans="1:20">
      <c r="A222">
        <v>9</v>
      </c>
      <c r="B222">
        <v>135788438</v>
      </c>
      <c r="C222" t="str">
        <f t="shared" si="9"/>
        <v>9:135788438</v>
      </c>
      <c r="D222">
        <v>2</v>
      </c>
      <c r="E222" s="1">
        <v>5.8479532200000003E-3</v>
      </c>
      <c r="F222">
        <v>1</v>
      </c>
      <c r="G222">
        <v>1</v>
      </c>
      <c r="H222" s="4">
        <v>0</v>
      </c>
      <c r="I222">
        <v>9</v>
      </c>
      <c r="J222">
        <v>-594</v>
      </c>
      <c r="K222">
        <v>0</v>
      </c>
      <c r="L222">
        <v>0</v>
      </c>
      <c r="M222">
        <v>0</v>
      </c>
      <c r="N222">
        <v>0</v>
      </c>
      <c r="O222" t="str">
        <f t="shared" si="10"/>
        <v>G</v>
      </c>
      <c r="P222" t="str">
        <f t="shared" si="11"/>
        <v>A</v>
      </c>
      <c r="Q222">
        <f>IF(M222=0,0,VLOOKUP(M222,'aa codes'!$A$1:'aa codes'!$B$21,2))</f>
        <v>0</v>
      </c>
      <c r="R222">
        <f>IF(N222=0,0,VLOOKUP(N222,'aa codes'!$A$1:'aa codes'!$B$21,2))</f>
        <v>0</v>
      </c>
      <c r="S222" s="1">
        <v>0</v>
      </c>
      <c r="T222" s="1">
        <v>5.8479532200000003E-3</v>
      </c>
    </row>
    <row r="223" spans="1:20">
      <c r="A223">
        <v>9</v>
      </c>
      <c r="B223">
        <v>135788442</v>
      </c>
      <c r="C223" t="str">
        <f t="shared" si="9"/>
        <v>9:135788442</v>
      </c>
      <c r="D223">
        <v>3</v>
      </c>
      <c r="E223" s="1">
        <v>6.0606060600000003E-3</v>
      </c>
      <c r="F223">
        <v>1</v>
      </c>
      <c r="G223">
        <v>1</v>
      </c>
      <c r="H223" s="4">
        <v>0</v>
      </c>
      <c r="I223">
        <v>9</v>
      </c>
      <c r="J223">
        <v>-598</v>
      </c>
      <c r="K223">
        <v>0</v>
      </c>
      <c r="L223">
        <v>0</v>
      </c>
      <c r="M223">
        <v>0</v>
      </c>
      <c r="N223">
        <v>0</v>
      </c>
      <c r="O223" t="str">
        <f t="shared" si="10"/>
        <v>C</v>
      </c>
      <c r="P223" t="str">
        <f t="shared" si="11"/>
        <v>A</v>
      </c>
      <c r="Q223">
        <f>IF(M223=0,0,VLOOKUP(M223,'aa codes'!$A$1:'aa codes'!$B$21,2))</f>
        <v>0</v>
      </c>
      <c r="R223">
        <f>IF(N223=0,0,VLOOKUP(N223,'aa codes'!$A$1:'aa codes'!$B$21,2))</f>
        <v>0</v>
      </c>
      <c r="S223" s="1">
        <v>0</v>
      </c>
      <c r="T223" s="1">
        <v>6.0606060600000003E-3</v>
      </c>
    </row>
    <row r="224" spans="1:20">
      <c r="A224">
        <v>9</v>
      </c>
      <c r="B224">
        <v>135788444</v>
      </c>
      <c r="C224" t="str">
        <f t="shared" si="9"/>
        <v>9:135788444</v>
      </c>
      <c r="D224">
        <v>2</v>
      </c>
      <c r="E224" s="1">
        <v>5.9171597600000004E-3</v>
      </c>
      <c r="F224">
        <v>4</v>
      </c>
      <c r="G224">
        <v>1</v>
      </c>
      <c r="H224" s="4">
        <v>0</v>
      </c>
      <c r="I224">
        <v>9</v>
      </c>
      <c r="J224">
        <v>-600</v>
      </c>
      <c r="K224">
        <v>0</v>
      </c>
      <c r="L224">
        <v>0</v>
      </c>
      <c r="M224">
        <v>0</v>
      </c>
      <c r="N224">
        <v>0</v>
      </c>
      <c r="O224" t="str">
        <f t="shared" si="10"/>
        <v>G</v>
      </c>
      <c r="P224" t="str">
        <f t="shared" si="11"/>
        <v>T</v>
      </c>
      <c r="Q224">
        <f>IF(M224=0,0,VLOOKUP(M224,'aa codes'!$A$1:'aa codes'!$B$21,2))</f>
        <v>0</v>
      </c>
      <c r="R224">
        <f>IF(N224=0,0,VLOOKUP(N224,'aa codes'!$A$1:'aa codes'!$B$21,2))</f>
        <v>0</v>
      </c>
      <c r="S224" s="1">
        <v>5.9171597600000004E-3</v>
      </c>
      <c r="T224" s="1">
        <v>0</v>
      </c>
    </row>
    <row r="225" spans="1:20">
      <c r="A225">
        <v>9</v>
      </c>
      <c r="B225">
        <v>135788455</v>
      </c>
      <c r="C225" t="str">
        <f t="shared" si="9"/>
        <v>9:135788455</v>
      </c>
      <c r="D225">
        <v>1</v>
      </c>
      <c r="E225" s="1">
        <v>5.9171597600000004E-3</v>
      </c>
      <c r="F225">
        <v>2</v>
      </c>
      <c r="G225">
        <v>1</v>
      </c>
      <c r="H225" s="4">
        <v>0</v>
      </c>
      <c r="I225">
        <v>9</v>
      </c>
      <c r="J225">
        <v>-611</v>
      </c>
      <c r="K225">
        <v>0</v>
      </c>
      <c r="L225">
        <v>0</v>
      </c>
      <c r="M225">
        <v>0</v>
      </c>
      <c r="N225">
        <v>0</v>
      </c>
      <c r="O225" t="str">
        <f t="shared" si="10"/>
        <v>A</v>
      </c>
      <c r="P225" t="str">
        <f t="shared" si="11"/>
        <v>G</v>
      </c>
      <c r="Q225">
        <f>IF(M225=0,0,VLOOKUP(M225,'aa codes'!$A$1:'aa codes'!$B$21,2))</f>
        <v>0</v>
      </c>
      <c r="R225">
        <f>IF(N225=0,0,VLOOKUP(N225,'aa codes'!$A$1:'aa codes'!$B$21,2))</f>
        <v>0</v>
      </c>
      <c r="S225" s="1">
        <v>0</v>
      </c>
      <c r="T225" s="1">
        <v>5.9171597600000004E-3</v>
      </c>
    </row>
    <row r="226" spans="1:20">
      <c r="A226">
        <v>9</v>
      </c>
      <c r="B226">
        <v>135788470</v>
      </c>
      <c r="C226" t="str">
        <f t="shared" si="9"/>
        <v>9:135788470</v>
      </c>
      <c r="D226">
        <v>3</v>
      </c>
      <c r="E226" s="1">
        <v>6.2305295999999996E-3</v>
      </c>
      <c r="F226">
        <v>4</v>
      </c>
      <c r="G226">
        <v>1</v>
      </c>
      <c r="H226" s="4">
        <v>0</v>
      </c>
      <c r="I226">
        <v>9</v>
      </c>
      <c r="J226">
        <v>-626</v>
      </c>
      <c r="K226">
        <v>0</v>
      </c>
      <c r="L226">
        <v>0</v>
      </c>
      <c r="M226">
        <v>0</v>
      </c>
      <c r="N226">
        <v>0</v>
      </c>
      <c r="O226" t="str">
        <f t="shared" si="10"/>
        <v>C</v>
      </c>
      <c r="P226" t="str">
        <f t="shared" si="11"/>
        <v>T</v>
      </c>
      <c r="Q226">
        <f>IF(M226=0,0,VLOOKUP(M226,'aa codes'!$A$1:'aa codes'!$B$21,2))</f>
        <v>0</v>
      </c>
      <c r="R226">
        <f>IF(N226=0,0,VLOOKUP(N226,'aa codes'!$A$1:'aa codes'!$B$21,2))</f>
        <v>0</v>
      </c>
      <c r="S226" s="1">
        <v>6.2305295999999996E-3</v>
      </c>
      <c r="T226" s="1">
        <v>0</v>
      </c>
    </row>
    <row r="227" spans="1:20">
      <c r="A227">
        <v>9</v>
      </c>
      <c r="B227">
        <v>135788483</v>
      </c>
      <c r="C227" t="str">
        <f t="shared" si="9"/>
        <v>9:135788483</v>
      </c>
      <c r="D227">
        <v>2</v>
      </c>
      <c r="E227" s="1">
        <v>6.3897763600000001E-3</v>
      </c>
      <c r="F227">
        <v>1</v>
      </c>
      <c r="G227">
        <v>1</v>
      </c>
      <c r="H227" s="4">
        <v>0</v>
      </c>
      <c r="I227">
        <v>9</v>
      </c>
      <c r="J227">
        <v>-639</v>
      </c>
      <c r="K227">
        <v>0</v>
      </c>
      <c r="L227">
        <v>0</v>
      </c>
      <c r="M227">
        <v>0</v>
      </c>
      <c r="N227">
        <v>0</v>
      </c>
      <c r="O227" t="str">
        <f t="shared" si="10"/>
        <v>G</v>
      </c>
      <c r="P227" t="str">
        <f t="shared" si="11"/>
        <v>A</v>
      </c>
      <c r="Q227">
        <f>IF(M227=0,0,VLOOKUP(M227,'aa codes'!$A$1:'aa codes'!$B$21,2))</f>
        <v>0</v>
      </c>
      <c r="R227">
        <f>IF(N227=0,0,VLOOKUP(N227,'aa codes'!$A$1:'aa codes'!$B$21,2))</f>
        <v>0</v>
      </c>
      <c r="S227" s="1">
        <v>6.3897763600000001E-3</v>
      </c>
      <c r="T227" s="1">
        <v>0</v>
      </c>
    </row>
    <row r="228" spans="1:20">
      <c r="A228">
        <v>9</v>
      </c>
      <c r="B228">
        <v>135788498</v>
      </c>
      <c r="C228" t="str">
        <f t="shared" si="9"/>
        <v>9:135788498</v>
      </c>
      <c r="D228">
        <v>4</v>
      </c>
      <c r="E228" s="1">
        <v>5.5248618799999998E-3</v>
      </c>
      <c r="F228">
        <v>3</v>
      </c>
      <c r="G228">
        <v>1</v>
      </c>
      <c r="H228" s="4">
        <v>0</v>
      </c>
      <c r="I228">
        <v>9</v>
      </c>
      <c r="J228">
        <v>-654</v>
      </c>
      <c r="K228">
        <v>0</v>
      </c>
      <c r="L228">
        <v>0</v>
      </c>
      <c r="M228">
        <v>0</v>
      </c>
      <c r="N228">
        <v>0</v>
      </c>
      <c r="O228" t="str">
        <f t="shared" si="10"/>
        <v>T</v>
      </c>
      <c r="P228" t="str">
        <f t="shared" si="11"/>
        <v>C</v>
      </c>
      <c r="Q228">
        <f>IF(M228=0,0,VLOOKUP(M228,'aa codes'!$A$1:'aa codes'!$B$21,2))</f>
        <v>0</v>
      </c>
      <c r="R228">
        <f>IF(N228=0,0,VLOOKUP(N228,'aa codes'!$A$1:'aa codes'!$B$21,2))</f>
        <v>0</v>
      </c>
      <c r="S228" s="1">
        <v>0</v>
      </c>
      <c r="T228" s="1">
        <v>5.5248618799999998E-3</v>
      </c>
    </row>
    <row r="229" spans="1:20">
      <c r="A229">
        <v>9</v>
      </c>
      <c r="B229">
        <v>135788529</v>
      </c>
      <c r="C229" t="str">
        <f t="shared" si="9"/>
        <v>9:135788529</v>
      </c>
      <c r="D229">
        <v>4</v>
      </c>
      <c r="E229" s="1">
        <v>8.7336244499999997E-3</v>
      </c>
      <c r="F229">
        <v>2</v>
      </c>
      <c r="G229">
        <v>1</v>
      </c>
      <c r="H229" s="4">
        <v>0</v>
      </c>
      <c r="I229">
        <v>9</v>
      </c>
      <c r="J229">
        <v>-685</v>
      </c>
      <c r="K229">
        <v>0</v>
      </c>
      <c r="L229">
        <v>0</v>
      </c>
      <c r="M229">
        <v>0</v>
      </c>
      <c r="N229">
        <v>0</v>
      </c>
      <c r="O229" t="str">
        <f t="shared" si="10"/>
        <v>T</v>
      </c>
      <c r="P229" t="str">
        <f t="shared" si="11"/>
        <v>G</v>
      </c>
      <c r="Q229">
        <f>IF(M229=0,0,VLOOKUP(M229,'aa codes'!$A$1:'aa codes'!$B$21,2))</f>
        <v>0</v>
      </c>
      <c r="R229">
        <f>IF(N229=0,0,VLOOKUP(N229,'aa codes'!$A$1:'aa codes'!$B$21,2))</f>
        <v>0</v>
      </c>
      <c r="S229" s="1">
        <v>0</v>
      </c>
      <c r="T229" s="1">
        <v>8.7336244499999997E-3</v>
      </c>
    </row>
    <row r="230" spans="1:20">
      <c r="A230">
        <v>9</v>
      </c>
      <c r="B230">
        <v>135788557</v>
      </c>
      <c r="C230" t="str">
        <f t="shared" si="9"/>
        <v>9:135788557</v>
      </c>
      <c r="D230">
        <v>4</v>
      </c>
      <c r="E230" s="1">
        <v>7.8431372499999999E-3</v>
      </c>
      <c r="F230">
        <v>3</v>
      </c>
      <c r="G230">
        <v>1</v>
      </c>
      <c r="H230" s="4">
        <v>0</v>
      </c>
      <c r="I230">
        <v>9</v>
      </c>
      <c r="J230">
        <v>-713</v>
      </c>
      <c r="K230">
        <v>0</v>
      </c>
      <c r="L230">
        <v>0</v>
      </c>
      <c r="M230">
        <v>0</v>
      </c>
      <c r="N230">
        <v>0</v>
      </c>
      <c r="O230" t="str">
        <f t="shared" si="10"/>
        <v>T</v>
      </c>
      <c r="P230" t="str">
        <f t="shared" si="11"/>
        <v>C</v>
      </c>
      <c r="Q230">
        <f>IF(M230=0,0,VLOOKUP(M230,'aa codes'!$A$1:'aa codes'!$B$21,2))</f>
        <v>0</v>
      </c>
      <c r="R230">
        <f>IF(N230=0,0,VLOOKUP(N230,'aa codes'!$A$1:'aa codes'!$B$21,2))</f>
        <v>0</v>
      </c>
      <c r="S230" s="1">
        <v>0</v>
      </c>
      <c r="T230" s="1">
        <v>7.8431372499999999E-3</v>
      </c>
    </row>
    <row r="231" spans="1:20">
      <c r="A231">
        <v>9</v>
      </c>
      <c r="B231">
        <v>135788566</v>
      </c>
      <c r="C231" t="str">
        <f t="shared" si="9"/>
        <v>9:135788566</v>
      </c>
      <c r="D231">
        <v>3</v>
      </c>
      <c r="E231" s="1">
        <v>7.1428571400000002E-3</v>
      </c>
      <c r="F231">
        <v>4</v>
      </c>
      <c r="G231">
        <v>1</v>
      </c>
      <c r="H231" s="4">
        <v>0</v>
      </c>
      <c r="I231">
        <v>9</v>
      </c>
      <c r="J231">
        <v>-722</v>
      </c>
      <c r="K231">
        <v>0</v>
      </c>
      <c r="L231">
        <v>0</v>
      </c>
      <c r="M231">
        <v>0</v>
      </c>
      <c r="N231">
        <v>0</v>
      </c>
      <c r="O231" t="str">
        <f t="shared" si="10"/>
        <v>C</v>
      </c>
      <c r="P231" t="str">
        <f t="shared" si="11"/>
        <v>T</v>
      </c>
      <c r="Q231">
        <f>IF(M231=0,0,VLOOKUP(M231,'aa codes'!$A$1:'aa codes'!$B$21,2))</f>
        <v>0</v>
      </c>
      <c r="R231">
        <f>IF(N231=0,0,VLOOKUP(N231,'aa codes'!$A$1:'aa codes'!$B$21,2))</f>
        <v>0</v>
      </c>
      <c r="S231" s="1">
        <v>0</v>
      </c>
      <c r="T231" s="1">
        <v>7.1428571400000002E-3</v>
      </c>
    </row>
    <row r="232" spans="1:20">
      <c r="A232">
        <v>9</v>
      </c>
      <c r="B232">
        <v>135789036</v>
      </c>
      <c r="C232" t="str">
        <f t="shared" si="9"/>
        <v>9:135789036</v>
      </c>
      <c r="D232">
        <v>3</v>
      </c>
      <c r="E232" s="1">
        <v>6.1349693300000001E-3</v>
      </c>
      <c r="F232">
        <v>1</v>
      </c>
      <c r="G232">
        <v>1</v>
      </c>
      <c r="H232" s="4">
        <v>0</v>
      </c>
      <c r="I232">
        <v>9</v>
      </c>
      <c r="J232">
        <v>-1192</v>
      </c>
      <c r="K232">
        <v>0</v>
      </c>
      <c r="L232">
        <v>0</v>
      </c>
      <c r="M232">
        <v>0</v>
      </c>
      <c r="N232">
        <v>0</v>
      </c>
      <c r="O232" t="str">
        <f t="shared" si="10"/>
        <v>C</v>
      </c>
      <c r="P232" t="str">
        <f t="shared" si="11"/>
        <v>A</v>
      </c>
      <c r="Q232">
        <f>IF(M232=0,0,VLOOKUP(M232,'aa codes'!$A$1:'aa codes'!$B$21,2))</f>
        <v>0</v>
      </c>
      <c r="R232">
        <f>IF(N232=0,0,VLOOKUP(N232,'aa codes'!$A$1:'aa codes'!$B$21,2))</f>
        <v>0</v>
      </c>
      <c r="S232" s="1">
        <v>0</v>
      </c>
      <c r="T232" s="1">
        <v>6.1349693300000001E-3</v>
      </c>
    </row>
    <row r="233" spans="1:20">
      <c r="A233">
        <v>9</v>
      </c>
      <c r="B233">
        <v>135789038</v>
      </c>
      <c r="C233" t="str">
        <f t="shared" si="9"/>
        <v>9:135789038</v>
      </c>
      <c r="D233">
        <v>3</v>
      </c>
      <c r="E233" s="1">
        <v>6.1349693300000001E-3</v>
      </c>
      <c r="F233">
        <v>4</v>
      </c>
      <c r="G233">
        <v>1</v>
      </c>
      <c r="H233" s="4">
        <v>0</v>
      </c>
      <c r="I233">
        <v>9</v>
      </c>
      <c r="J233">
        <v>-1194</v>
      </c>
      <c r="K233">
        <v>0</v>
      </c>
      <c r="L233">
        <v>0</v>
      </c>
      <c r="M233">
        <v>0</v>
      </c>
      <c r="N233">
        <v>0</v>
      </c>
      <c r="O233" t="str">
        <f t="shared" si="10"/>
        <v>C</v>
      </c>
      <c r="P233" t="str">
        <f t="shared" si="11"/>
        <v>T</v>
      </c>
      <c r="Q233">
        <f>IF(M233=0,0,VLOOKUP(M233,'aa codes'!$A$1:'aa codes'!$B$21,2))</f>
        <v>0</v>
      </c>
      <c r="R233">
        <f>IF(N233=0,0,VLOOKUP(N233,'aa codes'!$A$1:'aa codes'!$B$21,2))</f>
        <v>0</v>
      </c>
      <c r="S233" s="1">
        <v>0</v>
      </c>
      <c r="T233" s="1">
        <v>6.1349693300000001E-3</v>
      </c>
    </row>
    <row r="234" spans="1:20">
      <c r="A234">
        <v>9</v>
      </c>
      <c r="B234">
        <v>135789043</v>
      </c>
      <c r="C234" t="str">
        <f t="shared" si="9"/>
        <v>9:135789043</v>
      </c>
      <c r="D234">
        <v>4</v>
      </c>
      <c r="E234" s="1">
        <v>5.98802395E-3</v>
      </c>
      <c r="F234">
        <v>3</v>
      </c>
      <c r="G234">
        <v>1</v>
      </c>
      <c r="H234" s="4">
        <v>0</v>
      </c>
      <c r="I234">
        <v>9</v>
      </c>
      <c r="J234">
        <v>-1199</v>
      </c>
      <c r="K234">
        <v>0</v>
      </c>
      <c r="L234">
        <v>0</v>
      </c>
      <c r="M234">
        <v>0</v>
      </c>
      <c r="N234">
        <v>0</v>
      </c>
      <c r="O234" t="str">
        <f t="shared" si="10"/>
        <v>T</v>
      </c>
      <c r="P234" t="str">
        <f t="shared" si="11"/>
        <v>C</v>
      </c>
      <c r="Q234">
        <f>IF(M234=0,0,VLOOKUP(M234,'aa codes'!$A$1:'aa codes'!$B$21,2))</f>
        <v>0</v>
      </c>
      <c r="R234">
        <f>IF(N234=0,0,VLOOKUP(N234,'aa codes'!$A$1:'aa codes'!$B$21,2))</f>
        <v>0</v>
      </c>
      <c r="S234" s="1">
        <v>0</v>
      </c>
      <c r="T234" s="1">
        <v>5.98802395E-3</v>
      </c>
    </row>
    <row r="235" spans="1:20">
      <c r="A235">
        <v>9</v>
      </c>
      <c r="B235">
        <v>135789046</v>
      </c>
      <c r="C235" t="str">
        <f t="shared" si="9"/>
        <v>9:135789046</v>
      </c>
      <c r="D235">
        <v>4</v>
      </c>
      <c r="E235" s="1">
        <v>5.7803468199999998E-3</v>
      </c>
      <c r="F235">
        <v>1</v>
      </c>
      <c r="G235">
        <v>1</v>
      </c>
      <c r="H235" s="4">
        <v>0</v>
      </c>
      <c r="I235">
        <v>9</v>
      </c>
      <c r="J235">
        <v>-1202</v>
      </c>
      <c r="K235">
        <v>0</v>
      </c>
      <c r="L235">
        <v>0</v>
      </c>
      <c r="M235">
        <v>0</v>
      </c>
      <c r="N235">
        <v>0</v>
      </c>
      <c r="O235" t="str">
        <f t="shared" si="10"/>
        <v>T</v>
      </c>
      <c r="P235" t="str">
        <f t="shared" si="11"/>
        <v>A</v>
      </c>
      <c r="Q235">
        <f>IF(M235=0,0,VLOOKUP(M235,'aa codes'!$A$1:'aa codes'!$B$21,2))</f>
        <v>0</v>
      </c>
      <c r="R235">
        <f>IF(N235=0,0,VLOOKUP(N235,'aa codes'!$A$1:'aa codes'!$B$21,2))</f>
        <v>0</v>
      </c>
      <c r="S235" s="1">
        <v>0</v>
      </c>
      <c r="T235" s="1">
        <v>5.7803468199999998E-3</v>
      </c>
    </row>
    <row r="236" spans="1:20">
      <c r="A236">
        <v>9</v>
      </c>
      <c r="B236">
        <v>135789048</v>
      </c>
      <c r="C236" t="str">
        <f t="shared" si="9"/>
        <v>9:135789048</v>
      </c>
      <c r="D236">
        <v>3</v>
      </c>
      <c r="E236" s="1">
        <v>5.9171597600000004E-3</v>
      </c>
      <c r="F236">
        <v>1</v>
      </c>
      <c r="G236">
        <v>1</v>
      </c>
      <c r="H236" s="4">
        <v>0</v>
      </c>
      <c r="I236">
        <v>9</v>
      </c>
      <c r="J236">
        <v>-1204</v>
      </c>
      <c r="K236">
        <v>0</v>
      </c>
      <c r="L236">
        <v>0</v>
      </c>
      <c r="M236">
        <v>0</v>
      </c>
      <c r="N236">
        <v>0</v>
      </c>
      <c r="O236" t="str">
        <f t="shared" si="10"/>
        <v>C</v>
      </c>
      <c r="P236" t="str">
        <f t="shared" si="11"/>
        <v>A</v>
      </c>
      <c r="Q236">
        <f>IF(M236=0,0,VLOOKUP(M236,'aa codes'!$A$1:'aa codes'!$B$21,2))</f>
        <v>0</v>
      </c>
      <c r="R236">
        <f>IF(N236=0,0,VLOOKUP(N236,'aa codes'!$A$1:'aa codes'!$B$21,2))</f>
        <v>0</v>
      </c>
      <c r="S236" s="1">
        <v>0</v>
      </c>
      <c r="T236" s="1">
        <v>5.9171597600000004E-3</v>
      </c>
    </row>
    <row r="237" spans="1:20">
      <c r="A237">
        <v>9</v>
      </c>
      <c r="B237">
        <v>135789049</v>
      </c>
      <c r="C237" t="str">
        <f t="shared" si="9"/>
        <v>9:135789049</v>
      </c>
      <c r="D237">
        <v>4</v>
      </c>
      <c r="E237" s="1">
        <v>5.8479532200000003E-3</v>
      </c>
      <c r="F237">
        <v>1</v>
      </c>
      <c r="G237">
        <v>1</v>
      </c>
      <c r="H237" s="4">
        <v>0</v>
      </c>
      <c r="I237">
        <v>9</v>
      </c>
      <c r="J237">
        <v>-1205</v>
      </c>
      <c r="K237">
        <v>0</v>
      </c>
      <c r="L237">
        <v>0</v>
      </c>
      <c r="M237">
        <v>0</v>
      </c>
      <c r="N237">
        <v>0</v>
      </c>
      <c r="O237" t="str">
        <f t="shared" si="10"/>
        <v>T</v>
      </c>
      <c r="P237" t="str">
        <f t="shared" si="11"/>
        <v>A</v>
      </c>
      <c r="Q237">
        <f>IF(M237=0,0,VLOOKUP(M237,'aa codes'!$A$1:'aa codes'!$B$21,2))</f>
        <v>0</v>
      </c>
      <c r="R237">
        <f>IF(N237=0,0,VLOOKUP(N237,'aa codes'!$A$1:'aa codes'!$B$21,2))</f>
        <v>0</v>
      </c>
      <c r="S237" s="1">
        <v>0</v>
      </c>
      <c r="T237" s="1">
        <v>5.8479532200000003E-3</v>
      </c>
    </row>
    <row r="238" spans="1:20">
      <c r="A238">
        <v>9</v>
      </c>
      <c r="B238">
        <v>135789055</v>
      </c>
      <c r="C238" t="str">
        <f t="shared" si="9"/>
        <v>9:135789055</v>
      </c>
      <c r="D238">
        <v>4</v>
      </c>
      <c r="E238" s="1">
        <v>6.0606060600000003E-3</v>
      </c>
      <c r="F238">
        <v>1</v>
      </c>
      <c r="G238">
        <v>1</v>
      </c>
      <c r="H238" s="4">
        <v>0</v>
      </c>
      <c r="I238">
        <v>9</v>
      </c>
      <c r="J238">
        <v>-1211</v>
      </c>
      <c r="K238">
        <v>0</v>
      </c>
      <c r="L238">
        <v>0</v>
      </c>
      <c r="M238">
        <v>0</v>
      </c>
      <c r="N238">
        <v>0</v>
      </c>
      <c r="O238" t="str">
        <f t="shared" si="10"/>
        <v>T</v>
      </c>
      <c r="P238" t="str">
        <f t="shared" si="11"/>
        <v>A</v>
      </c>
      <c r="Q238">
        <f>IF(M238=0,0,VLOOKUP(M238,'aa codes'!$A$1:'aa codes'!$B$21,2))</f>
        <v>0</v>
      </c>
      <c r="R238">
        <f>IF(N238=0,0,VLOOKUP(N238,'aa codes'!$A$1:'aa codes'!$B$21,2))</f>
        <v>0</v>
      </c>
      <c r="S238" s="1">
        <v>2.9585798800000002E-3</v>
      </c>
      <c r="T238" s="1">
        <v>6.0606060600000003E-3</v>
      </c>
    </row>
    <row r="239" spans="1:20">
      <c r="A239">
        <v>9</v>
      </c>
      <c r="B239">
        <v>135789057</v>
      </c>
      <c r="C239" t="str">
        <f t="shared" si="9"/>
        <v>9:135789057</v>
      </c>
      <c r="D239">
        <v>3</v>
      </c>
      <c r="E239" s="1">
        <v>6.0240963899999998E-3</v>
      </c>
      <c r="F239">
        <v>1</v>
      </c>
      <c r="G239">
        <v>1</v>
      </c>
      <c r="H239" s="4">
        <v>0</v>
      </c>
      <c r="I239">
        <v>9</v>
      </c>
      <c r="J239">
        <v>-1213</v>
      </c>
      <c r="K239">
        <v>0</v>
      </c>
      <c r="L239">
        <v>0</v>
      </c>
      <c r="M239">
        <v>0</v>
      </c>
      <c r="N239">
        <v>0</v>
      </c>
      <c r="O239" t="str">
        <f t="shared" si="10"/>
        <v>C</v>
      </c>
      <c r="P239" t="str">
        <f t="shared" si="11"/>
        <v>A</v>
      </c>
      <c r="Q239">
        <f>IF(M239=0,0,VLOOKUP(M239,'aa codes'!$A$1:'aa codes'!$B$21,2))</f>
        <v>0</v>
      </c>
      <c r="R239">
        <f>IF(N239=0,0,VLOOKUP(N239,'aa codes'!$A$1:'aa codes'!$B$21,2))</f>
        <v>0</v>
      </c>
      <c r="S239" s="1">
        <v>3.0211480399999998E-3</v>
      </c>
      <c r="T239" s="1">
        <v>6.0240963899999998E-3</v>
      </c>
    </row>
    <row r="240" spans="1:20">
      <c r="A240">
        <v>9</v>
      </c>
      <c r="B240">
        <v>135789212</v>
      </c>
      <c r="C240" t="str">
        <f t="shared" si="9"/>
        <v>9:135789212</v>
      </c>
      <c r="D240">
        <v>3</v>
      </c>
      <c r="E240" s="1">
        <v>0.13793103400000001</v>
      </c>
      <c r="F240">
        <v>1</v>
      </c>
      <c r="G240">
        <v>2</v>
      </c>
      <c r="H240" s="4">
        <v>0</v>
      </c>
      <c r="I240">
        <v>9</v>
      </c>
      <c r="J240">
        <v>-1368</v>
      </c>
      <c r="K240">
        <v>0</v>
      </c>
      <c r="L240">
        <v>0</v>
      </c>
      <c r="M240">
        <v>0</v>
      </c>
      <c r="N240">
        <v>0</v>
      </c>
      <c r="O240" t="str">
        <f t="shared" si="10"/>
        <v>C</v>
      </c>
      <c r="P240" t="str">
        <f t="shared" si="11"/>
        <v>A</v>
      </c>
      <c r="Q240">
        <f>IF(M240=0,0,VLOOKUP(M240,'aa codes'!$A$1:'aa codes'!$B$21,2))</f>
        <v>0</v>
      </c>
      <c r="R240">
        <f>IF(N240=0,0,VLOOKUP(N240,'aa codes'!$A$1:'aa codes'!$B$21,2))</f>
        <v>0</v>
      </c>
      <c r="S240" s="1">
        <v>2.5641025599999999E-2</v>
      </c>
      <c r="T240" s="1">
        <v>0.13793103400000001</v>
      </c>
    </row>
    <row r="241" spans="1:20">
      <c r="A241">
        <v>9</v>
      </c>
      <c r="B241">
        <v>135789336</v>
      </c>
      <c r="C241" t="str">
        <f t="shared" si="9"/>
        <v>9:135789336</v>
      </c>
      <c r="D241">
        <v>1</v>
      </c>
      <c r="E241" s="1">
        <v>4.16666667E-2</v>
      </c>
      <c r="F241">
        <v>2</v>
      </c>
      <c r="G241">
        <v>1</v>
      </c>
      <c r="H241" s="4">
        <v>0</v>
      </c>
      <c r="I241">
        <v>9</v>
      </c>
      <c r="J241">
        <v>-1492</v>
      </c>
      <c r="K241">
        <v>0</v>
      </c>
      <c r="L241">
        <v>0</v>
      </c>
      <c r="M241">
        <v>0</v>
      </c>
      <c r="N241">
        <v>0</v>
      </c>
      <c r="O241" t="str">
        <f t="shared" si="10"/>
        <v>A</v>
      </c>
      <c r="P241" t="str">
        <f t="shared" si="11"/>
        <v>G</v>
      </c>
      <c r="Q241">
        <f>IF(M241=0,0,VLOOKUP(M241,'aa codes'!$A$1:'aa codes'!$B$21,2))</f>
        <v>0</v>
      </c>
      <c r="R241">
        <f>IF(N241=0,0,VLOOKUP(N241,'aa codes'!$A$1:'aa codes'!$B$21,2))</f>
        <v>0</v>
      </c>
      <c r="S241" s="1">
        <v>0</v>
      </c>
      <c r="T241" s="1">
        <v>4.16666667E-2</v>
      </c>
    </row>
    <row r="242" spans="1:20">
      <c r="A242">
        <v>9</v>
      </c>
      <c r="B242">
        <v>135789538</v>
      </c>
      <c r="C242" t="str">
        <f t="shared" si="9"/>
        <v>9:135789538</v>
      </c>
      <c r="D242">
        <v>4</v>
      </c>
      <c r="E242" s="1">
        <v>6.1349693300000001E-3</v>
      </c>
      <c r="F242">
        <v>3</v>
      </c>
      <c r="G242">
        <v>1</v>
      </c>
      <c r="H242" s="4">
        <v>0</v>
      </c>
      <c r="I242">
        <v>9</v>
      </c>
      <c r="J242">
        <v>-1694</v>
      </c>
      <c r="K242">
        <v>0</v>
      </c>
      <c r="L242">
        <v>0</v>
      </c>
      <c r="M242">
        <v>0</v>
      </c>
      <c r="N242">
        <v>0</v>
      </c>
      <c r="O242" t="str">
        <f t="shared" si="10"/>
        <v>T</v>
      </c>
      <c r="P242" t="str">
        <f t="shared" si="11"/>
        <v>C</v>
      </c>
      <c r="Q242">
        <f>IF(M242=0,0,VLOOKUP(M242,'aa codes'!$A$1:'aa codes'!$B$21,2))</f>
        <v>0</v>
      </c>
      <c r="R242">
        <f>IF(N242=0,0,VLOOKUP(N242,'aa codes'!$A$1:'aa codes'!$B$21,2))</f>
        <v>0</v>
      </c>
      <c r="S242" s="1">
        <v>0</v>
      </c>
      <c r="T242" s="1">
        <v>6.1349693300000001E-3</v>
      </c>
    </row>
    <row r="243" spans="1:20">
      <c r="A243">
        <v>9</v>
      </c>
      <c r="B243">
        <v>135790007</v>
      </c>
      <c r="C243" t="str">
        <f t="shared" si="9"/>
        <v>9:135790007</v>
      </c>
      <c r="D243">
        <v>4</v>
      </c>
      <c r="E243" s="1">
        <v>7.10900474E-3</v>
      </c>
      <c r="F243">
        <v>1</v>
      </c>
      <c r="G243">
        <v>1</v>
      </c>
      <c r="H243" s="4">
        <v>0</v>
      </c>
      <c r="I243">
        <v>9</v>
      </c>
      <c r="J243">
        <v>-2163</v>
      </c>
      <c r="K243">
        <v>0</v>
      </c>
      <c r="L243">
        <v>0</v>
      </c>
      <c r="M243">
        <v>0</v>
      </c>
      <c r="N243">
        <v>0</v>
      </c>
      <c r="O243" t="str">
        <f t="shared" si="10"/>
        <v>T</v>
      </c>
      <c r="P243" t="str">
        <f t="shared" si="11"/>
        <v>A</v>
      </c>
      <c r="Q243">
        <f>IF(M243=0,0,VLOOKUP(M243,'aa codes'!$A$1:'aa codes'!$B$21,2))</f>
        <v>0</v>
      </c>
      <c r="R243">
        <f>IF(N243=0,0,VLOOKUP(N243,'aa codes'!$A$1:'aa codes'!$B$21,2))</f>
        <v>0</v>
      </c>
      <c r="S243" s="1">
        <v>0</v>
      </c>
      <c r="T243" s="1">
        <v>7.10900474E-3</v>
      </c>
    </row>
    <row r="244" spans="1:20">
      <c r="A244">
        <v>9</v>
      </c>
      <c r="B244">
        <v>135790021</v>
      </c>
      <c r="C244" t="str">
        <f t="shared" si="9"/>
        <v>9:135790021</v>
      </c>
      <c r="D244">
        <v>2</v>
      </c>
      <c r="E244" s="1">
        <v>5.1948051900000004E-3</v>
      </c>
      <c r="F244">
        <v>1</v>
      </c>
      <c r="G244">
        <v>1</v>
      </c>
      <c r="H244" s="4">
        <v>0</v>
      </c>
      <c r="I244">
        <v>9</v>
      </c>
      <c r="J244">
        <v>-2177</v>
      </c>
      <c r="K244">
        <v>0</v>
      </c>
      <c r="L244">
        <v>0</v>
      </c>
      <c r="M244">
        <v>0</v>
      </c>
      <c r="N244">
        <v>0</v>
      </c>
      <c r="O244" t="str">
        <f t="shared" si="10"/>
        <v>G</v>
      </c>
      <c r="P244" t="str">
        <f t="shared" si="11"/>
        <v>A</v>
      </c>
      <c r="Q244">
        <f>IF(M244=0,0,VLOOKUP(M244,'aa codes'!$A$1:'aa codes'!$B$21,2))</f>
        <v>0</v>
      </c>
      <c r="R244">
        <f>IF(N244=0,0,VLOOKUP(N244,'aa codes'!$A$1:'aa codes'!$B$21,2))</f>
        <v>0</v>
      </c>
      <c r="S244" s="1">
        <v>0</v>
      </c>
      <c r="T244" s="1">
        <v>5.1948051900000004E-3</v>
      </c>
    </row>
    <row r="245" spans="1:20">
      <c r="A245">
        <v>9</v>
      </c>
      <c r="B245">
        <v>135790025</v>
      </c>
      <c r="C245" t="str">
        <f t="shared" si="9"/>
        <v>9:135790025</v>
      </c>
      <c r="D245">
        <v>4</v>
      </c>
      <c r="E245" s="1">
        <v>5.3619302899999997E-3</v>
      </c>
      <c r="F245">
        <v>3</v>
      </c>
      <c r="G245">
        <v>1</v>
      </c>
      <c r="H245" s="4">
        <v>0</v>
      </c>
      <c r="I245">
        <v>9</v>
      </c>
      <c r="J245">
        <v>-2181</v>
      </c>
      <c r="K245">
        <v>0</v>
      </c>
      <c r="L245">
        <v>0</v>
      </c>
      <c r="M245">
        <v>0</v>
      </c>
      <c r="N245">
        <v>0</v>
      </c>
      <c r="O245" t="str">
        <f t="shared" si="10"/>
        <v>T</v>
      </c>
      <c r="P245" t="str">
        <f t="shared" si="11"/>
        <v>C</v>
      </c>
      <c r="Q245">
        <f>IF(M245=0,0,VLOOKUP(M245,'aa codes'!$A$1:'aa codes'!$B$21,2))</f>
        <v>0</v>
      </c>
      <c r="R245">
        <f>IF(N245=0,0,VLOOKUP(N245,'aa codes'!$A$1:'aa codes'!$B$21,2))</f>
        <v>0</v>
      </c>
      <c r="S245" s="1">
        <v>1.7421602799999999E-3</v>
      </c>
      <c r="T245" s="1">
        <v>5.3619302899999997E-3</v>
      </c>
    </row>
    <row r="246" spans="1:20">
      <c r="A246">
        <v>9</v>
      </c>
      <c r="B246">
        <v>135790034</v>
      </c>
      <c r="C246" t="str">
        <f t="shared" si="9"/>
        <v>9:135790034</v>
      </c>
      <c r="D246">
        <v>3</v>
      </c>
      <c r="E246" s="1">
        <v>5.97014925E-3</v>
      </c>
      <c r="F246">
        <v>4</v>
      </c>
      <c r="G246">
        <v>1</v>
      </c>
      <c r="H246" s="4">
        <v>0</v>
      </c>
      <c r="I246">
        <v>9</v>
      </c>
      <c r="J246">
        <v>-2190</v>
      </c>
      <c r="K246">
        <v>0</v>
      </c>
      <c r="L246">
        <v>0</v>
      </c>
      <c r="M246">
        <v>0</v>
      </c>
      <c r="N246">
        <v>0</v>
      </c>
      <c r="O246" t="str">
        <f t="shared" si="10"/>
        <v>C</v>
      </c>
      <c r="P246" t="str">
        <f t="shared" si="11"/>
        <v>T</v>
      </c>
      <c r="Q246">
        <f>IF(M246=0,0,VLOOKUP(M246,'aa codes'!$A$1:'aa codes'!$B$21,2))</f>
        <v>0</v>
      </c>
      <c r="R246">
        <f>IF(N246=0,0,VLOOKUP(N246,'aa codes'!$A$1:'aa codes'!$B$21,2))</f>
        <v>0</v>
      </c>
      <c r="S246" s="1">
        <v>0</v>
      </c>
      <c r="T246" s="1">
        <v>5.97014925E-3</v>
      </c>
    </row>
    <row r="247" spans="1:20">
      <c r="A247">
        <v>9</v>
      </c>
      <c r="B247">
        <v>135790050</v>
      </c>
      <c r="C247" t="str">
        <f t="shared" si="9"/>
        <v>9:135790050</v>
      </c>
      <c r="D247">
        <v>3</v>
      </c>
      <c r="E247" s="1">
        <v>6.3291139199999997E-3</v>
      </c>
      <c r="F247">
        <v>1</v>
      </c>
      <c r="G247">
        <v>1</v>
      </c>
      <c r="H247" s="4">
        <v>0</v>
      </c>
      <c r="I247">
        <v>9</v>
      </c>
      <c r="J247">
        <v>-2206</v>
      </c>
      <c r="K247">
        <v>0</v>
      </c>
      <c r="L247">
        <v>0</v>
      </c>
      <c r="M247">
        <v>0</v>
      </c>
      <c r="N247">
        <v>0</v>
      </c>
      <c r="O247" t="str">
        <f t="shared" si="10"/>
        <v>C</v>
      </c>
      <c r="P247" t="str">
        <f t="shared" si="11"/>
        <v>A</v>
      </c>
      <c r="Q247">
        <f>IF(M247=0,0,VLOOKUP(M247,'aa codes'!$A$1:'aa codes'!$B$21,2))</f>
        <v>0</v>
      </c>
      <c r="R247">
        <f>IF(N247=0,0,VLOOKUP(N247,'aa codes'!$A$1:'aa codes'!$B$21,2))</f>
        <v>0</v>
      </c>
      <c r="S247" s="1">
        <v>6.3291139199999997E-3</v>
      </c>
      <c r="T247" s="1">
        <v>0</v>
      </c>
    </row>
    <row r="248" spans="1:20">
      <c r="A248">
        <v>9</v>
      </c>
      <c r="B248">
        <v>135790052</v>
      </c>
      <c r="C248" t="str">
        <f t="shared" si="9"/>
        <v>9:135790052</v>
      </c>
      <c r="D248">
        <v>4</v>
      </c>
      <c r="E248" s="1">
        <v>7.0671378099999996E-3</v>
      </c>
      <c r="F248">
        <v>1</v>
      </c>
      <c r="G248">
        <v>1</v>
      </c>
      <c r="H248" s="4">
        <v>0</v>
      </c>
      <c r="I248">
        <v>9</v>
      </c>
      <c r="J248">
        <v>-2208</v>
      </c>
      <c r="K248">
        <v>0</v>
      </c>
      <c r="L248">
        <v>0</v>
      </c>
      <c r="M248">
        <v>0</v>
      </c>
      <c r="N248">
        <v>0</v>
      </c>
      <c r="O248" t="str">
        <f t="shared" si="10"/>
        <v>T</v>
      </c>
      <c r="P248" t="str">
        <f t="shared" si="11"/>
        <v>A</v>
      </c>
      <c r="Q248">
        <f>IF(M248=0,0,VLOOKUP(M248,'aa codes'!$A$1:'aa codes'!$B$21,2))</f>
        <v>0</v>
      </c>
      <c r="R248">
        <f>IF(N248=0,0,VLOOKUP(N248,'aa codes'!$A$1:'aa codes'!$B$21,2))</f>
        <v>0</v>
      </c>
      <c r="S248" s="1">
        <v>4.0322580600000001E-3</v>
      </c>
      <c r="T248" s="1">
        <v>7.0671378099999996E-3</v>
      </c>
    </row>
    <row r="249" spans="1:20">
      <c r="A249">
        <v>9</v>
      </c>
      <c r="B249">
        <v>135790059</v>
      </c>
      <c r="C249" t="str">
        <f t="shared" si="9"/>
        <v>9:135790059</v>
      </c>
      <c r="D249">
        <v>3</v>
      </c>
      <c r="E249" s="1">
        <v>1.2605042E-2</v>
      </c>
      <c r="F249">
        <v>1</v>
      </c>
      <c r="G249">
        <v>2</v>
      </c>
      <c r="H249" s="4">
        <v>0</v>
      </c>
      <c r="I249">
        <v>9</v>
      </c>
      <c r="J249">
        <v>-2215</v>
      </c>
      <c r="K249">
        <v>0</v>
      </c>
      <c r="L249">
        <v>0</v>
      </c>
      <c r="M249">
        <v>0</v>
      </c>
      <c r="N249">
        <v>0</v>
      </c>
      <c r="O249" t="str">
        <f t="shared" si="10"/>
        <v>C</v>
      </c>
      <c r="P249" t="str">
        <f t="shared" si="11"/>
        <v>A</v>
      </c>
      <c r="Q249">
        <f>IF(M249=0,0,VLOOKUP(M249,'aa codes'!$A$1:'aa codes'!$B$21,2))</f>
        <v>0</v>
      </c>
      <c r="R249">
        <f>IF(N249=0,0,VLOOKUP(N249,'aa codes'!$A$1:'aa codes'!$B$21,2))</f>
        <v>0</v>
      </c>
      <c r="S249" s="1">
        <v>7.2463768099999999E-3</v>
      </c>
      <c r="T249" s="1">
        <v>1.2605042E-2</v>
      </c>
    </row>
    <row r="250" spans="1:20">
      <c r="A250">
        <v>9</v>
      </c>
      <c r="B250">
        <v>135790061</v>
      </c>
      <c r="C250" t="str">
        <f t="shared" si="9"/>
        <v>9:135790061</v>
      </c>
      <c r="D250">
        <v>4</v>
      </c>
      <c r="E250" s="1">
        <v>7.6335877900000002E-3</v>
      </c>
      <c r="F250">
        <v>1</v>
      </c>
      <c r="G250">
        <v>1</v>
      </c>
      <c r="H250" s="4">
        <v>0</v>
      </c>
      <c r="I250">
        <v>9</v>
      </c>
      <c r="J250">
        <v>-2217</v>
      </c>
      <c r="K250">
        <v>0</v>
      </c>
      <c r="L250">
        <v>0</v>
      </c>
      <c r="M250">
        <v>0</v>
      </c>
      <c r="N250">
        <v>0</v>
      </c>
      <c r="O250" t="str">
        <f t="shared" si="10"/>
        <v>T</v>
      </c>
      <c r="P250" t="str">
        <f t="shared" si="11"/>
        <v>A</v>
      </c>
      <c r="Q250">
        <f>IF(M250=0,0,VLOOKUP(M250,'aa codes'!$A$1:'aa codes'!$B$21,2))</f>
        <v>0</v>
      </c>
      <c r="R250">
        <f>IF(N250=0,0,VLOOKUP(N250,'aa codes'!$A$1:'aa codes'!$B$21,2))</f>
        <v>0</v>
      </c>
      <c r="S250" s="1">
        <v>4.1407867500000001E-3</v>
      </c>
      <c r="T250" s="1">
        <v>7.6335877900000002E-3</v>
      </c>
    </row>
    <row r="251" spans="1:20">
      <c r="A251">
        <v>9</v>
      </c>
      <c r="B251">
        <v>135790064</v>
      </c>
      <c r="C251" t="str">
        <f t="shared" si="9"/>
        <v>9:135790064</v>
      </c>
      <c r="D251">
        <v>3</v>
      </c>
      <c r="E251" s="1">
        <v>8.3333333299999996E-3</v>
      </c>
      <c r="F251">
        <v>1</v>
      </c>
      <c r="G251">
        <v>1</v>
      </c>
      <c r="H251" s="4">
        <v>0</v>
      </c>
      <c r="I251">
        <v>9</v>
      </c>
      <c r="J251">
        <v>-2220</v>
      </c>
      <c r="K251">
        <v>0</v>
      </c>
      <c r="L251">
        <v>0</v>
      </c>
      <c r="M251">
        <v>0</v>
      </c>
      <c r="N251">
        <v>0</v>
      </c>
      <c r="O251" t="str">
        <f t="shared" si="10"/>
        <v>C</v>
      </c>
      <c r="P251" t="str">
        <f t="shared" si="11"/>
        <v>A</v>
      </c>
      <c r="Q251">
        <f>IF(M251=0,0,VLOOKUP(M251,'aa codes'!$A$1:'aa codes'!$B$21,2))</f>
        <v>0</v>
      </c>
      <c r="R251">
        <f>IF(N251=0,0,VLOOKUP(N251,'aa codes'!$A$1:'aa codes'!$B$21,2))</f>
        <v>0</v>
      </c>
      <c r="S251" s="1">
        <v>2.36966825E-3</v>
      </c>
      <c r="T251" s="1">
        <v>8.3333333299999996E-3</v>
      </c>
    </row>
    <row r="252" spans="1:20">
      <c r="A252">
        <v>9</v>
      </c>
      <c r="B252">
        <v>135790074</v>
      </c>
      <c r="C252" t="str">
        <f t="shared" si="9"/>
        <v>9:135790074</v>
      </c>
      <c r="D252">
        <v>4</v>
      </c>
      <c r="E252" s="1">
        <v>8.8495575200000006E-3</v>
      </c>
      <c r="F252">
        <v>1</v>
      </c>
      <c r="G252">
        <v>1</v>
      </c>
      <c r="H252" s="4">
        <v>0</v>
      </c>
      <c r="I252">
        <v>9</v>
      </c>
      <c r="J252">
        <v>-2230</v>
      </c>
      <c r="K252">
        <v>0</v>
      </c>
      <c r="L252">
        <v>0</v>
      </c>
      <c r="M252">
        <v>0</v>
      </c>
      <c r="N252">
        <v>0</v>
      </c>
      <c r="O252" t="str">
        <f t="shared" si="10"/>
        <v>T</v>
      </c>
      <c r="P252" t="str">
        <f t="shared" si="11"/>
        <v>A</v>
      </c>
      <c r="Q252">
        <f>IF(M252=0,0,VLOOKUP(M252,'aa codes'!$A$1:'aa codes'!$B$21,2))</f>
        <v>0</v>
      </c>
      <c r="R252">
        <f>IF(N252=0,0,VLOOKUP(N252,'aa codes'!$A$1:'aa codes'!$B$21,2))</f>
        <v>0</v>
      </c>
      <c r="S252" s="1">
        <v>0</v>
      </c>
      <c r="T252" s="1">
        <v>8.8495575200000006E-3</v>
      </c>
    </row>
    <row r="253" spans="1:20">
      <c r="A253">
        <v>9</v>
      </c>
      <c r="B253">
        <v>135790088</v>
      </c>
      <c r="C253" t="str">
        <f t="shared" si="9"/>
        <v>9:135790088</v>
      </c>
      <c r="D253">
        <v>4</v>
      </c>
      <c r="E253" s="1">
        <v>3.2544378700000001E-2</v>
      </c>
      <c r="F253">
        <v>1</v>
      </c>
      <c r="G253">
        <v>2</v>
      </c>
      <c r="H253" s="4">
        <v>0</v>
      </c>
      <c r="I253">
        <v>9</v>
      </c>
      <c r="J253">
        <v>-2244</v>
      </c>
      <c r="K253">
        <v>0</v>
      </c>
      <c r="L253">
        <v>0</v>
      </c>
      <c r="M253">
        <v>0</v>
      </c>
      <c r="N253">
        <v>0</v>
      </c>
      <c r="O253" t="str">
        <f t="shared" si="10"/>
        <v>T</v>
      </c>
      <c r="P253" t="str">
        <f t="shared" si="11"/>
        <v>A</v>
      </c>
      <c r="Q253">
        <f>IF(M253=0,0,VLOOKUP(M253,'aa codes'!$A$1:'aa codes'!$B$21,2))</f>
        <v>0</v>
      </c>
      <c r="R253">
        <f>IF(N253=0,0,VLOOKUP(N253,'aa codes'!$A$1:'aa codes'!$B$21,2))</f>
        <v>0</v>
      </c>
      <c r="S253" s="1">
        <v>3.2544378700000001E-2</v>
      </c>
      <c r="T253" s="1">
        <v>2.4154589399999999E-2</v>
      </c>
    </row>
    <row r="254" spans="1:20">
      <c r="A254">
        <v>9</v>
      </c>
      <c r="B254">
        <v>135790090</v>
      </c>
      <c r="C254" t="str">
        <f t="shared" si="9"/>
        <v>9:135790090</v>
      </c>
      <c r="D254">
        <v>3</v>
      </c>
      <c r="E254" s="1">
        <v>1.9370459999999999E-2</v>
      </c>
      <c r="F254">
        <v>1</v>
      </c>
      <c r="G254">
        <v>2</v>
      </c>
      <c r="H254" s="4">
        <v>0</v>
      </c>
      <c r="I254">
        <v>9</v>
      </c>
      <c r="J254">
        <v>-2246</v>
      </c>
      <c r="K254">
        <v>0</v>
      </c>
      <c r="L254">
        <v>0</v>
      </c>
      <c r="M254">
        <v>0</v>
      </c>
      <c r="N254">
        <v>0</v>
      </c>
      <c r="O254" t="str">
        <f t="shared" si="10"/>
        <v>C</v>
      </c>
      <c r="P254" t="str">
        <f t="shared" si="11"/>
        <v>A</v>
      </c>
      <c r="Q254">
        <f>IF(M254=0,0,VLOOKUP(M254,'aa codes'!$A$1:'aa codes'!$B$21,2))</f>
        <v>0</v>
      </c>
      <c r="R254">
        <f>IF(N254=0,0,VLOOKUP(N254,'aa codes'!$A$1:'aa codes'!$B$21,2))</f>
        <v>0</v>
      </c>
      <c r="S254" s="1">
        <v>1.8624641800000001E-2</v>
      </c>
      <c r="T254" s="1">
        <v>1.9370459999999999E-2</v>
      </c>
    </row>
    <row r="255" spans="1:20">
      <c r="A255">
        <v>9</v>
      </c>
      <c r="B255">
        <v>135790091</v>
      </c>
      <c r="C255" t="str">
        <f t="shared" si="9"/>
        <v>9:135790091</v>
      </c>
      <c r="D255">
        <v>1</v>
      </c>
      <c r="E255" s="1">
        <v>1.93236715E-2</v>
      </c>
      <c r="F255">
        <v>3</v>
      </c>
      <c r="G255">
        <v>2</v>
      </c>
      <c r="H255" s="4">
        <v>0</v>
      </c>
      <c r="I255">
        <v>9</v>
      </c>
      <c r="J255">
        <v>-2247</v>
      </c>
      <c r="K255">
        <v>0</v>
      </c>
      <c r="L255">
        <v>0</v>
      </c>
      <c r="M255">
        <v>0</v>
      </c>
      <c r="N255">
        <v>0</v>
      </c>
      <c r="O255" t="str">
        <f t="shared" si="10"/>
        <v>A</v>
      </c>
      <c r="P255" t="str">
        <f t="shared" si="11"/>
        <v>C</v>
      </c>
      <c r="Q255">
        <f>IF(M255=0,0,VLOOKUP(M255,'aa codes'!$A$1:'aa codes'!$B$21,2))</f>
        <v>0</v>
      </c>
      <c r="R255">
        <f>IF(N255=0,0,VLOOKUP(N255,'aa codes'!$A$1:'aa codes'!$B$21,2))</f>
        <v>0</v>
      </c>
      <c r="S255" s="1">
        <v>5.5401662000000001E-3</v>
      </c>
      <c r="T255" s="1">
        <v>1.93236715E-2</v>
      </c>
    </row>
    <row r="256" spans="1:20">
      <c r="A256">
        <v>9</v>
      </c>
      <c r="B256">
        <v>135790106</v>
      </c>
      <c r="C256" t="str">
        <f t="shared" si="9"/>
        <v>9:135790106</v>
      </c>
      <c r="D256">
        <v>1</v>
      </c>
      <c r="E256" s="1">
        <v>1.4084507E-2</v>
      </c>
      <c r="F256">
        <v>4</v>
      </c>
      <c r="G256">
        <v>2</v>
      </c>
      <c r="H256" s="4">
        <v>0</v>
      </c>
      <c r="I256">
        <v>9</v>
      </c>
      <c r="J256">
        <v>-2262</v>
      </c>
      <c r="K256">
        <v>0</v>
      </c>
      <c r="L256">
        <v>0</v>
      </c>
      <c r="M256">
        <v>0</v>
      </c>
      <c r="N256">
        <v>0</v>
      </c>
      <c r="O256" t="str">
        <f t="shared" si="10"/>
        <v>A</v>
      </c>
      <c r="P256" t="str">
        <f t="shared" si="11"/>
        <v>T</v>
      </c>
      <c r="Q256">
        <f>IF(M256=0,0,VLOOKUP(M256,'aa codes'!$A$1:'aa codes'!$B$21,2))</f>
        <v>0</v>
      </c>
      <c r="R256">
        <f>IF(N256=0,0,VLOOKUP(N256,'aa codes'!$A$1:'aa codes'!$B$21,2))</f>
        <v>0</v>
      </c>
      <c r="S256" s="1">
        <v>1.4084507E-2</v>
      </c>
      <c r="T256" s="1">
        <v>7.5187969899999998E-3</v>
      </c>
    </row>
    <row r="257" spans="1:20">
      <c r="A257">
        <v>9</v>
      </c>
      <c r="B257">
        <v>135790107</v>
      </c>
      <c r="C257" t="str">
        <f t="shared" si="9"/>
        <v>9:135790107</v>
      </c>
      <c r="D257">
        <v>4</v>
      </c>
      <c r="E257" s="1">
        <v>1.49812734E-2</v>
      </c>
      <c r="F257">
        <v>1</v>
      </c>
      <c r="G257">
        <v>2</v>
      </c>
      <c r="H257" s="4">
        <v>0</v>
      </c>
      <c r="I257">
        <v>9</v>
      </c>
      <c r="J257">
        <v>-2263</v>
      </c>
      <c r="K257">
        <v>0</v>
      </c>
      <c r="L257">
        <v>0</v>
      </c>
      <c r="M257">
        <v>0</v>
      </c>
      <c r="N257">
        <v>0</v>
      </c>
      <c r="O257" t="str">
        <f t="shared" si="10"/>
        <v>T</v>
      </c>
      <c r="P257" t="str">
        <f t="shared" si="11"/>
        <v>A</v>
      </c>
      <c r="Q257">
        <f>IF(M257=0,0,VLOOKUP(M257,'aa codes'!$A$1:'aa codes'!$B$21,2))</f>
        <v>0</v>
      </c>
      <c r="R257">
        <f>IF(N257=0,0,VLOOKUP(N257,'aa codes'!$A$1:'aa codes'!$B$21,2))</f>
        <v>0</v>
      </c>
      <c r="S257" s="1">
        <v>8.2304526699999991E-3</v>
      </c>
      <c r="T257" s="1">
        <v>1.49812734E-2</v>
      </c>
    </row>
    <row r="258" spans="1:20">
      <c r="A258">
        <v>9</v>
      </c>
      <c r="B258">
        <v>135790109</v>
      </c>
      <c r="C258" t="str">
        <f t="shared" si="9"/>
        <v>9:135790109</v>
      </c>
      <c r="D258">
        <v>1</v>
      </c>
      <c r="E258" s="1">
        <v>7.6335877900000002E-3</v>
      </c>
      <c r="F258">
        <v>4</v>
      </c>
      <c r="G258">
        <v>1</v>
      </c>
      <c r="H258" s="4">
        <v>0</v>
      </c>
      <c r="I258">
        <v>9</v>
      </c>
      <c r="J258">
        <v>-2265</v>
      </c>
      <c r="K258">
        <v>0</v>
      </c>
      <c r="L258">
        <v>0</v>
      </c>
      <c r="M258">
        <v>0</v>
      </c>
      <c r="N258">
        <v>0</v>
      </c>
      <c r="O258" t="str">
        <f t="shared" si="10"/>
        <v>A</v>
      </c>
      <c r="P258" t="str">
        <f t="shared" si="11"/>
        <v>T</v>
      </c>
      <c r="Q258">
        <f>IF(M258=0,0,VLOOKUP(M258,'aa codes'!$A$1:'aa codes'!$B$21,2))</f>
        <v>0</v>
      </c>
      <c r="R258">
        <f>IF(N258=0,0,VLOOKUP(N258,'aa codes'!$A$1:'aa codes'!$B$21,2))</f>
        <v>0</v>
      </c>
      <c r="S258" s="1">
        <v>2.12314225E-3</v>
      </c>
      <c r="T258" s="1">
        <v>7.6335877900000002E-3</v>
      </c>
    </row>
    <row r="259" spans="1:20">
      <c r="A259">
        <v>9</v>
      </c>
      <c r="B259">
        <v>135790118</v>
      </c>
      <c r="C259" t="str">
        <f t="shared" ref="C259:C322" si="12">A259&amp;":"&amp;B259</f>
        <v>9:135790118</v>
      </c>
      <c r="D259">
        <v>4</v>
      </c>
      <c r="E259" s="1">
        <v>8.0000000000000002E-3</v>
      </c>
      <c r="F259">
        <v>2</v>
      </c>
      <c r="G259">
        <v>1</v>
      </c>
      <c r="H259" s="4">
        <v>0</v>
      </c>
      <c r="I259">
        <v>9</v>
      </c>
      <c r="J259">
        <v>-2274</v>
      </c>
      <c r="K259">
        <v>0</v>
      </c>
      <c r="L259">
        <v>0</v>
      </c>
      <c r="M259">
        <v>0</v>
      </c>
      <c r="N259">
        <v>0</v>
      </c>
      <c r="O259" t="str">
        <f t="shared" ref="O259:O322" si="13">IF(D259=1,"A",IF(D259=2,"G",IF(D259=3,"C",IF(D259=4,"T","2NT"))))</f>
        <v>T</v>
      </c>
      <c r="P259" t="str">
        <f t="shared" ref="P259:P322" si="14">IF(F259=1,"A",IF(F259=2,"G",IF(F259=3,"C",IF(F259=4,"T","2NT"))))</f>
        <v>G</v>
      </c>
      <c r="Q259">
        <f>IF(M259=0,0,VLOOKUP(M259,'aa codes'!$A$1:'aa codes'!$B$21,2))</f>
        <v>0</v>
      </c>
      <c r="R259">
        <f>IF(N259=0,0,VLOOKUP(N259,'aa codes'!$A$1:'aa codes'!$B$21,2))</f>
        <v>0</v>
      </c>
      <c r="S259" s="1">
        <v>0</v>
      </c>
      <c r="T259" s="1">
        <v>8.0000000000000002E-3</v>
      </c>
    </row>
    <row r="260" spans="1:20">
      <c r="A260">
        <v>9</v>
      </c>
      <c r="B260">
        <v>135790121</v>
      </c>
      <c r="C260" t="str">
        <f t="shared" si="12"/>
        <v>9:135790121</v>
      </c>
      <c r="D260">
        <v>4</v>
      </c>
      <c r="E260" s="1">
        <v>6.9767441900000001E-3</v>
      </c>
      <c r="F260">
        <v>2</v>
      </c>
      <c r="G260">
        <v>1</v>
      </c>
      <c r="H260" s="4">
        <v>0</v>
      </c>
      <c r="I260">
        <v>9</v>
      </c>
      <c r="J260">
        <v>-2277</v>
      </c>
      <c r="K260">
        <v>0</v>
      </c>
      <c r="L260">
        <v>0</v>
      </c>
      <c r="M260">
        <v>0</v>
      </c>
      <c r="N260">
        <v>0</v>
      </c>
      <c r="O260" t="str">
        <f t="shared" si="13"/>
        <v>T</v>
      </c>
      <c r="P260" t="str">
        <f t="shared" si="14"/>
        <v>G</v>
      </c>
      <c r="Q260">
        <f>IF(M260=0,0,VLOOKUP(M260,'aa codes'!$A$1:'aa codes'!$B$21,2))</f>
        <v>0</v>
      </c>
      <c r="R260">
        <f>IF(N260=0,0,VLOOKUP(N260,'aa codes'!$A$1:'aa codes'!$B$21,2))</f>
        <v>0</v>
      </c>
      <c r="S260" s="1">
        <v>6.9767441900000001E-3</v>
      </c>
      <c r="T260" s="1">
        <v>0</v>
      </c>
    </row>
    <row r="261" spans="1:20">
      <c r="A261">
        <v>9</v>
      </c>
      <c r="B261">
        <v>135790232</v>
      </c>
      <c r="C261" t="str">
        <f t="shared" si="12"/>
        <v>9:135790232</v>
      </c>
      <c r="D261">
        <v>1</v>
      </c>
      <c r="E261" s="1">
        <v>5.49450549E-3</v>
      </c>
      <c r="F261">
        <v>2</v>
      </c>
      <c r="G261">
        <v>1</v>
      </c>
      <c r="H261" s="4">
        <v>0</v>
      </c>
      <c r="I261">
        <v>9</v>
      </c>
      <c r="J261">
        <v>-2388</v>
      </c>
      <c r="K261">
        <v>0</v>
      </c>
      <c r="L261">
        <v>0</v>
      </c>
      <c r="M261">
        <v>0</v>
      </c>
      <c r="N261">
        <v>0</v>
      </c>
      <c r="O261" t="str">
        <f t="shared" si="13"/>
        <v>A</v>
      </c>
      <c r="P261" t="str">
        <f t="shared" si="14"/>
        <v>G</v>
      </c>
      <c r="Q261">
        <f>IF(M261=0,0,VLOOKUP(M261,'aa codes'!$A$1:'aa codes'!$B$21,2))</f>
        <v>0</v>
      </c>
      <c r="R261">
        <f>IF(N261=0,0,VLOOKUP(N261,'aa codes'!$A$1:'aa codes'!$B$21,2))</f>
        <v>0</v>
      </c>
      <c r="S261" s="1">
        <v>0</v>
      </c>
      <c r="T261" s="1">
        <v>5.49450549E-3</v>
      </c>
    </row>
    <row r="262" spans="1:20">
      <c r="A262">
        <v>9</v>
      </c>
      <c r="B262">
        <v>135790261</v>
      </c>
      <c r="C262" t="str">
        <f t="shared" si="12"/>
        <v>9:135790261</v>
      </c>
      <c r="D262">
        <v>2</v>
      </c>
      <c r="E262" s="1">
        <v>1</v>
      </c>
      <c r="F262">
        <v>1</v>
      </c>
      <c r="G262">
        <v>2</v>
      </c>
      <c r="H262" s="4">
        <v>0.999</v>
      </c>
      <c r="I262">
        <v>9</v>
      </c>
      <c r="J262">
        <v>-2417</v>
      </c>
      <c r="K262">
        <v>0</v>
      </c>
      <c r="L262">
        <v>0</v>
      </c>
      <c r="M262">
        <v>0</v>
      </c>
      <c r="N262">
        <v>0</v>
      </c>
      <c r="O262" t="str">
        <f t="shared" si="13"/>
        <v>G</v>
      </c>
      <c r="P262" t="str">
        <f t="shared" si="14"/>
        <v>A</v>
      </c>
      <c r="Q262">
        <f>IF(M262=0,0,VLOOKUP(M262,'aa codes'!$A$1:'aa codes'!$B$21,2))</f>
        <v>0</v>
      </c>
      <c r="R262">
        <f>IF(N262=0,0,VLOOKUP(N262,'aa codes'!$A$1:'aa codes'!$B$21,2))</f>
        <v>0</v>
      </c>
      <c r="S262" s="1">
        <v>1</v>
      </c>
      <c r="T262" s="1">
        <v>0.99743589700000002</v>
      </c>
    </row>
    <row r="263" spans="1:20">
      <c r="A263">
        <v>9</v>
      </c>
      <c r="B263">
        <v>135790284</v>
      </c>
      <c r="C263" t="str">
        <f t="shared" si="12"/>
        <v>9:135790284</v>
      </c>
      <c r="D263">
        <v>4</v>
      </c>
      <c r="E263" s="1">
        <v>5.0890585200000001E-3</v>
      </c>
      <c r="F263">
        <v>3</v>
      </c>
      <c r="G263">
        <v>1</v>
      </c>
      <c r="H263" s="4">
        <v>0</v>
      </c>
      <c r="I263">
        <v>9</v>
      </c>
      <c r="J263">
        <v>-2440</v>
      </c>
      <c r="K263">
        <v>0</v>
      </c>
      <c r="L263">
        <v>0</v>
      </c>
      <c r="M263">
        <v>0</v>
      </c>
      <c r="N263">
        <v>0</v>
      </c>
      <c r="O263" t="str">
        <f t="shared" si="13"/>
        <v>T</v>
      </c>
      <c r="P263" t="str">
        <f t="shared" si="14"/>
        <v>C</v>
      </c>
      <c r="Q263">
        <f>IF(M263=0,0,VLOOKUP(M263,'aa codes'!$A$1:'aa codes'!$B$21,2))</f>
        <v>0</v>
      </c>
      <c r="R263">
        <f>IF(N263=0,0,VLOOKUP(N263,'aa codes'!$A$1:'aa codes'!$B$21,2))</f>
        <v>0</v>
      </c>
      <c r="S263" s="1">
        <v>0</v>
      </c>
      <c r="T263" s="1">
        <v>5.0890585200000001E-3</v>
      </c>
    </row>
    <row r="264" spans="1:20">
      <c r="A264">
        <v>9</v>
      </c>
      <c r="B264">
        <v>135790319</v>
      </c>
      <c r="C264" t="str">
        <f t="shared" si="12"/>
        <v>9:135790319</v>
      </c>
      <c r="D264">
        <v>1</v>
      </c>
      <c r="E264" s="1">
        <v>5.0377833799999999E-3</v>
      </c>
      <c r="F264">
        <v>4</v>
      </c>
      <c r="G264">
        <v>1</v>
      </c>
      <c r="H264" s="4">
        <v>0</v>
      </c>
      <c r="I264">
        <v>9</v>
      </c>
      <c r="J264">
        <v>-2475</v>
      </c>
      <c r="K264">
        <v>0</v>
      </c>
      <c r="L264">
        <v>0</v>
      </c>
      <c r="M264">
        <v>0</v>
      </c>
      <c r="N264">
        <v>0</v>
      </c>
      <c r="O264" t="str">
        <f t="shared" si="13"/>
        <v>A</v>
      </c>
      <c r="P264" t="str">
        <f t="shared" si="14"/>
        <v>T</v>
      </c>
      <c r="Q264">
        <f>IF(M264=0,0,VLOOKUP(M264,'aa codes'!$A$1:'aa codes'!$B$21,2))</f>
        <v>0</v>
      </c>
      <c r="R264">
        <f>IF(N264=0,0,VLOOKUP(N264,'aa codes'!$A$1:'aa codes'!$B$21,2))</f>
        <v>0</v>
      </c>
      <c r="S264" s="1">
        <v>0</v>
      </c>
      <c r="T264" s="1">
        <v>5.0377833799999999E-3</v>
      </c>
    </row>
    <row r="265" spans="1:20">
      <c r="A265">
        <v>9</v>
      </c>
      <c r="B265">
        <v>135790329</v>
      </c>
      <c r="C265" t="str">
        <f t="shared" si="12"/>
        <v>9:135790329</v>
      </c>
      <c r="D265">
        <v>1</v>
      </c>
      <c r="E265" s="1">
        <v>5.1282051299999997E-3</v>
      </c>
      <c r="F265">
        <v>2</v>
      </c>
      <c r="G265">
        <v>1</v>
      </c>
      <c r="H265" s="4">
        <v>0</v>
      </c>
      <c r="I265">
        <v>9</v>
      </c>
      <c r="J265">
        <v>-2485</v>
      </c>
      <c r="K265">
        <v>0</v>
      </c>
      <c r="L265">
        <v>0</v>
      </c>
      <c r="M265">
        <v>0</v>
      </c>
      <c r="N265">
        <v>0</v>
      </c>
      <c r="O265" t="str">
        <f t="shared" si="13"/>
        <v>A</v>
      </c>
      <c r="P265" t="str">
        <f t="shared" si="14"/>
        <v>G</v>
      </c>
      <c r="Q265">
        <f>IF(M265=0,0,VLOOKUP(M265,'aa codes'!$A$1:'aa codes'!$B$21,2))</f>
        <v>0</v>
      </c>
      <c r="R265">
        <f>IF(N265=0,0,VLOOKUP(N265,'aa codes'!$A$1:'aa codes'!$B$21,2))</f>
        <v>0</v>
      </c>
      <c r="S265" s="1">
        <v>0</v>
      </c>
      <c r="T265" s="1">
        <v>5.1282051299999997E-3</v>
      </c>
    </row>
    <row r="266" spans="1:20">
      <c r="A266">
        <v>9</v>
      </c>
      <c r="B266">
        <v>135790369</v>
      </c>
      <c r="C266" t="str">
        <f t="shared" si="12"/>
        <v>9:135790369</v>
      </c>
      <c r="D266">
        <v>3</v>
      </c>
      <c r="E266" s="1">
        <v>6.9444444400000001E-3</v>
      </c>
      <c r="F266">
        <v>1</v>
      </c>
      <c r="G266">
        <v>1</v>
      </c>
      <c r="H266" s="4">
        <v>0</v>
      </c>
      <c r="I266">
        <v>9</v>
      </c>
      <c r="J266">
        <v>-2525</v>
      </c>
      <c r="K266">
        <v>0</v>
      </c>
      <c r="L266">
        <v>0</v>
      </c>
      <c r="M266">
        <v>0</v>
      </c>
      <c r="N266">
        <v>0</v>
      </c>
      <c r="O266" t="str">
        <f t="shared" si="13"/>
        <v>C</v>
      </c>
      <c r="P266" t="str">
        <f t="shared" si="14"/>
        <v>A</v>
      </c>
      <c r="Q266">
        <f>IF(M266=0,0,VLOOKUP(M266,'aa codes'!$A$1:'aa codes'!$B$21,2))</f>
        <v>0</v>
      </c>
      <c r="R266">
        <f>IF(N266=0,0,VLOOKUP(N266,'aa codes'!$A$1:'aa codes'!$B$21,2))</f>
        <v>0</v>
      </c>
      <c r="S266" s="1">
        <v>2.9368575600000001E-3</v>
      </c>
      <c r="T266" s="1">
        <v>6.9444444400000001E-3</v>
      </c>
    </row>
    <row r="267" spans="1:20">
      <c r="A267">
        <v>9</v>
      </c>
      <c r="B267">
        <v>135790406</v>
      </c>
      <c r="C267" t="str">
        <f t="shared" si="12"/>
        <v>9:135790406</v>
      </c>
      <c r="D267">
        <v>3</v>
      </c>
      <c r="E267" s="1">
        <v>5.8479532200000003E-3</v>
      </c>
      <c r="F267">
        <v>1</v>
      </c>
      <c r="G267">
        <v>1</v>
      </c>
      <c r="H267" s="4">
        <v>0</v>
      </c>
      <c r="I267">
        <v>9</v>
      </c>
      <c r="J267">
        <v>-2562</v>
      </c>
      <c r="K267">
        <v>0</v>
      </c>
      <c r="L267">
        <v>0</v>
      </c>
      <c r="M267">
        <v>0</v>
      </c>
      <c r="N267">
        <v>0</v>
      </c>
      <c r="O267" t="str">
        <f t="shared" si="13"/>
        <v>C</v>
      </c>
      <c r="P267" t="str">
        <f t="shared" si="14"/>
        <v>A</v>
      </c>
      <c r="Q267">
        <f>IF(M267=0,0,VLOOKUP(M267,'aa codes'!$A$1:'aa codes'!$B$21,2))</f>
        <v>0</v>
      </c>
      <c r="R267">
        <f>IF(N267=0,0,VLOOKUP(N267,'aa codes'!$A$1:'aa codes'!$B$21,2))</f>
        <v>0</v>
      </c>
      <c r="S267" s="1">
        <v>1.3071895400000001E-3</v>
      </c>
      <c r="T267" s="1">
        <v>5.8479532200000003E-3</v>
      </c>
    </row>
    <row r="268" spans="1:20">
      <c r="A268">
        <v>9</v>
      </c>
      <c r="B268">
        <v>135790409</v>
      </c>
      <c r="C268" t="str">
        <f t="shared" si="12"/>
        <v>9:135790409</v>
      </c>
      <c r="D268">
        <v>3</v>
      </c>
      <c r="E268" s="1">
        <v>5.8027079299999996E-3</v>
      </c>
      <c r="F268">
        <v>1</v>
      </c>
      <c r="G268">
        <v>1</v>
      </c>
      <c r="H268" s="4">
        <v>0</v>
      </c>
      <c r="I268">
        <v>9</v>
      </c>
      <c r="J268">
        <v>-2565</v>
      </c>
      <c r="K268">
        <v>0</v>
      </c>
      <c r="L268">
        <v>0</v>
      </c>
      <c r="M268">
        <v>0</v>
      </c>
      <c r="N268">
        <v>0</v>
      </c>
      <c r="O268" t="str">
        <f t="shared" si="13"/>
        <v>C</v>
      </c>
      <c r="P268" t="str">
        <f t="shared" si="14"/>
        <v>A</v>
      </c>
      <c r="Q268">
        <f>IF(M268=0,0,VLOOKUP(M268,'aa codes'!$A$1:'aa codes'!$B$21,2))</f>
        <v>0</v>
      </c>
      <c r="R268">
        <f>IF(N268=0,0,VLOOKUP(N268,'aa codes'!$A$1:'aa codes'!$B$21,2))</f>
        <v>0</v>
      </c>
      <c r="S268" s="1">
        <v>1.31233596E-3</v>
      </c>
      <c r="T268" s="1">
        <v>5.8027079299999996E-3</v>
      </c>
    </row>
    <row r="269" spans="1:20">
      <c r="A269">
        <v>9</v>
      </c>
      <c r="B269">
        <v>135790418</v>
      </c>
      <c r="C269" t="str">
        <f t="shared" si="12"/>
        <v>9:135790418</v>
      </c>
      <c r="D269">
        <v>3</v>
      </c>
      <c r="E269" s="1">
        <v>5.7803468199999998E-3</v>
      </c>
      <c r="F269">
        <v>1</v>
      </c>
      <c r="G269">
        <v>1</v>
      </c>
      <c r="H269" s="4">
        <v>0</v>
      </c>
      <c r="I269">
        <v>9</v>
      </c>
      <c r="J269">
        <v>-2574</v>
      </c>
      <c r="K269">
        <v>0</v>
      </c>
      <c r="L269">
        <v>0</v>
      </c>
      <c r="M269">
        <v>0</v>
      </c>
      <c r="N269">
        <v>0</v>
      </c>
      <c r="O269" t="str">
        <f t="shared" si="13"/>
        <v>C</v>
      </c>
      <c r="P269" t="str">
        <f t="shared" si="14"/>
        <v>A</v>
      </c>
      <c r="Q269">
        <f>IF(M269=0,0,VLOOKUP(M269,'aa codes'!$A$1:'aa codes'!$B$21,2))</f>
        <v>0</v>
      </c>
      <c r="R269">
        <f>IF(N269=0,0,VLOOKUP(N269,'aa codes'!$A$1:'aa codes'!$B$21,2))</f>
        <v>0</v>
      </c>
      <c r="S269" s="1">
        <v>0</v>
      </c>
      <c r="T269" s="1">
        <v>5.7803468199999998E-3</v>
      </c>
    </row>
    <row r="270" spans="1:20">
      <c r="A270">
        <v>9</v>
      </c>
      <c r="B270">
        <v>135790421</v>
      </c>
      <c r="C270" t="str">
        <f t="shared" si="12"/>
        <v>9:135790421</v>
      </c>
      <c r="D270">
        <v>3</v>
      </c>
      <c r="E270" s="1">
        <v>5.7361376699999996E-3</v>
      </c>
      <c r="F270">
        <v>1</v>
      </c>
      <c r="G270">
        <v>1</v>
      </c>
      <c r="H270" s="4">
        <v>0</v>
      </c>
      <c r="I270">
        <v>9</v>
      </c>
      <c r="J270">
        <v>-2577</v>
      </c>
      <c r="K270">
        <v>0</v>
      </c>
      <c r="L270">
        <v>0</v>
      </c>
      <c r="M270">
        <v>0</v>
      </c>
      <c r="N270">
        <v>0</v>
      </c>
      <c r="O270" t="str">
        <f t="shared" si="13"/>
        <v>C</v>
      </c>
      <c r="P270" t="str">
        <f t="shared" si="14"/>
        <v>A</v>
      </c>
      <c r="Q270">
        <f>IF(M270=0,0,VLOOKUP(M270,'aa codes'!$A$1:'aa codes'!$B$21,2))</f>
        <v>0</v>
      </c>
      <c r="R270">
        <f>IF(N270=0,0,VLOOKUP(N270,'aa codes'!$A$1:'aa codes'!$B$21,2))</f>
        <v>0</v>
      </c>
      <c r="S270" s="1">
        <v>2.5220681000000002E-3</v>
      </c>
      <c r="T270" s="1">
        <v>5.7361376699999996E-3</v>
      </c>
    </row>
    <row r="271" spans="1:20">
      <c r="A271">
        <v>9</v>
      </c>
      <c r="B271">
        <v>135790510</v>
      </c>
      <c r="C271" t="str">
        <f t="shared" si="12"/>
        <v>9:135790510</v>
      </c>
      <c r="D271">
        <v>3</v>
      </c>
      <c r="E271" s="1">
        <v>7.4626865699999999E-3</v>
      </c>
      <c r="F271">
        <v>4</v>
      </c>
      <c r="G271">
        <v>1</v>
      </c>
      <c r="H271" s="4">
        <v>0</v>
      </c>
      <c r="I271">
        <v>9</v>
      </c>
      <c r="J271">
        <v>-2666</v>
      </c>
      <c r="K271">
        <v>0</v>
      </c>
      <c r="L271">
        <v>0</v>
      </c>
      <c r="M271">
        <v>0</v>
      </c>
      <c r="N271">
        <v>0</v>
      </c>
      <c r="O271" t="str">
        <f t="shared" si="13"/>
        <v>C</v>
      </c>
      <c r="P271" t="str">
        <f t="shared" si="14"/>
        <v>T</v>
      </c>
      <c r="Q271">
        <f>IF(M271=0,0,VLOOKUP(M271,'aa codes'!$A$1:'aa codes'!$B$21,2))</f>
        <v>0</v>
      </c>
      <c r="R271">
        <f>IF(N271=0,0,VLOOKUP(N271,'aa codes'!$A$1:'aa codes'!$B$21,2))</f>
        <v>0</v>
      </c>
      <c r="S271" s="1">
        <v>0</v>
      </c>
      <c r="T271" s="1">
        <v>7.4626865699999999E-3</v>
      </c>
    </row>
    <row r="272" spans="1:20">
      <c r="A272">
        <v>9</v>
      </c>
      <c r="B272">
        <v>135790577</v>
      </c>
      <c r="C272" t="str">
        <f t="shared" si="12"/>
        <v>9:135790577</v>
      </c>
      <c r="D272">
        <v>2</v>
      </c>
      <c r="E272" s="1">
        <v>8.1743869200000003E-3</v>
      </c>
      <c r="F272">
        <v>1</v>
      </c>
      <c r="G272">
        <v>1</v>
      </c>
      <c r="H272" s="4">
        <v>0</v>
      </c>
      <c r="I272">
        <v>9</v>
      </c>
      <c r="J272">
        <v>-2733</v>
      </c>
      <c r="K272">
        <v>0</v>
      </c>
      <c r="L272">
        <v>0</v>
      </c>
      <c r="M272">
        <v>0</v>
      </c>
      <c r="N272">
        <v>0</v>
      </c>
      <c r="O272" t="str">
        <f t="shared" si="13"/>
        <v>G</v>
      </c>
      <c r="P272" t="str">
        <f t="shared" si="14"/>
        <v>A</v>
      </c>
      <c r="Q272">
        <f>IF(M272=0,0,VLOOKUP(M272,'aa codes'!$A$1:'aa codes'!$B$21,2))</f>
        <v>0</v>
      </c>
      <c r="R272">
        <f>IF(N272=0,0,VLOOKUP(N272,'aa codes'!$A$1:'aa codes'!$B$21,2))</f>
        <v>0</v>
      </c>
      <c r="S272" s="1">
        <v>8.1743869200000003E-3</v>
      </c>
      <c r="T272" s="1">
        <v>4.1841004199999997E-3</v>
      </c>
    </row>
    <row r="273" spans="1:20">
      <c r="A273">
        <v>9</v>
      </c>
      <c r="B273">
        <v>135790578</v>
      </c>
      <c r="C273" t="str">
        <f t="shared" si="12"/>
        <v>9:135790578</v>
      </c>
      <c r="D273">
        <v>1</v>
      </c>
      <c r="E273" s="1">
        <v>1.2919896599999999E-2</v>
      </c>
      <c r="F273">
        <v>2</v>
      </c>
      <c r="G273">
        <v>2</v>
      </c>
      <c r="H273" s="4">
        <v>0</v>
      </c>
      <c r="I273">
        <v>9</v>
      </c>
      <c r="J273">
        <v>-2734</v>
      </c>
      <c r="K273">
        <v>0</v>
      </c>
      <c r="L273">
        <v>0</v>
      </c>
      <c r="M273">
        <v>0</v>
      </c>
      <c r="N273">
        <v>0</v>
      </c>
      <c r="O273" t="str">
        <f t="shared" si="13"/>
        <v>A</v>
      </c>
      <c r="P273" t="str">
        <f t="shared" si="14"/>
        <v>G</v>
      </c>
      <c r="Q273">
        <f>IF(M273=0,0,VLOOKUP(M273,'aa codes'!$A$1:'aa codes'!$B$21,2))</f>
        <v>0</v>
      </c>
      <c r="R273">
        <f>IF(N273=0,0,VLOOKUP(N273,'aa codes'!$A$1:'aa codes'!$B$21,2))</f>
        <v>0</v>
      </c>
      <c r="S273" s="1">
        <v>8.99280576E-3</v>
      </c>
      <c r="T273" s="1">
        <v>1.2919896599999999E-2</v>
      </c>
    </row>
    <row r="274" spans="1:20">
      <c r="A274">
        <v>9</v>
      </c>
      <c r="B274">
        <v>135790699</v>
      </c>
      <c r="C274" t="str">
        <f t="shared" si="12"/>
        <v>9:135790699</v>
      </c>
      <c r="D274">
        <v>2</v>
      </c>
      <c r="E274" s="1">
        <v>5.6285178199999997E-3</v>
      </c>
      <c r="F274">
        <v>1</v>
      </c>
      <c r="G274">
        <v>1</v>
      </c>
      <c r="H274" s="4">
        <v>1.2990000000000001E-4</v>
      </c>
      <c r="I274">
        <v>9</v>
      </c>
      <c r="J274">
        <v>-2855</v>
      </c>
      <c r="K274">
        <v>0</v>
      </c>
      <c r="L274">
        <v>0</v>
      </c>
      <c r="M274">
        <v>0</v>
      </c>
      <c r="N274">
        <v>0</v>
      </c>
      <c r="O274" t="str">
        <f t="shared" si="13"/>
        <v>G</v>
      </c>
      <c r="P274" t="str">
        <f t="shared" si="14"/>
        <v>A</v>
      </c>
      <c r="Q274">
        <f>IF(M274=0,0,VLOOKUP(M274,'aa codes'!$A$1:'aa codes'!$B$21,2))</f>
        <v>0</v>
      </c>
      <c r="R274">
        <f>IF(N274=0,0,VLOOKUP(N274,'aa codes'!$A$1:'aa codes'!$B$21,2))</f>
        <v>0</v>
      </c>
      <c r="S274" s="1">
        <v>0</v>
      </c>
      <c r="T274" s="1">
        <v>5.6285178199999997E-3</v>
      </c>
    </row>
    <row r="275" spans="1:20">
      <c r="A275">
        <v>9</v>
      </c>
      <c r="B275">
        <v>135791103</v>
      </c>
      <c r="C275" t="str">
        <f t="shared" si="12"/>
        <v>9:135791103</v>
      </c>
      <c r="D275">
        <v>2</v>
      </c>
      <c r="E275" s="1">
        <v>0.50418994399999995</v>
      </c>
      <c r="F275">
        <v>1</v>
      </c>
      <c r="G275">
        <v>1</v>
      </c>
      <c r="H275" s="4">
        <v>0.43099999999999999</v>
      </c>
      <c r="I275">
        <v>9</v>
      </c>
      <c r="J275">
        <v>-3259</v>
      </c>
      <c r="K275">
        <v>0</v>
      </c>
      <c r="L275">
        <v>0</v>
      </c>
      <c r="M275">
        <v>0</v>
      </c>
      <c r="N275">
        <v>0</v>
      </c>
      <c r="O275" t="str">
        <f t="shared" si="13"/>
        <v>G</v>
      </c>
      <c r="P275" t="str">
        <f t="shared" si="14"/>
        <v>A</v>
      </c>
      <c r="Q275">
        <f>IF(M275=0,0,VLOOKUP(M275,'aa codes'!$A$1:'aa codes'!$B$21,2))</f>
        <v>0</v>
      </c>
      <c r="R275">
        <f>IF(N275=0,0,VLOOKUP(N275,'aa codes'!$A$1:'aa codes'!$B$21,2))</f>
        <v>0</v>
      </c>
      <c r="S275" s="1">
        <v>0</v>
      </c>
      <c r="T275" s="1">
        <v>0.50418994399999995</v>
      </c>
    </row>
    <row r="276" spans="1:20">
      <c r="A276">
        <v>9</v>
      </c>
      <c r="B276">
        <v>135792676</v>
      </c>
      <c r="C276" t="str">
        <f t="shared" si="12"/>
        <v>9:135792676</v>
      </c>
      <c r="D276">
        <v>2</v>
      </c>
      <c r="E276" s="1">
        <v>9.2250922500000006E-3</v>
      </c>
      <c r="F276">
        <v>4</v>
      </c>
      <c r="G276">
        <v>1</v>
      </c>
      <c r="H276" s="4">
        <v>0</v>
      </c>
      <c r="I276">
        <v>8</v>
      </c>
      <c r="J276">
        <v>4074</v>
      </c>
      <c r="K276">
        <v>0</v>
      </c>
      <c r="L276">
        <v>0</v>
      </c>
      <c r="M276">
        <v>0</v>
      </c>
      <c r="N276">
        <v>0</v>
      </c>
      <c r="O276" t="str">
        <f t="shared" si="13"/>
        <v>G</v>
      </c>
      <c r="P276" t="str">
        <f t="shared" si="14"/>
        <v>T</v>
      </c>
      <c r="Q276">
        <f>IF(M276=0,0,VLOOKUP(M276,'aa codes'!$A$1:'aa codes'!$B$21,2))</f>
        <v>0</v>
      </c>
      <c r="R276">
        <f>IF(N276=0,0,VLOOKUP(N276,'aa codes'!$A$1:'aa codes'!$B$21,2))</f>
        <v>0</v>
      </c>
      <c r="S276" s="1">
        <v>3.3821871499999999E-3</v>
      </c>
      <c r="T276" s="1">
        <v>9.2250922500000006E-3</v>
      </c>
    </row>
    <row r="277" spans="1:20">
      <c r="A277">
        <v>9</v>
      </c>
      <c r="B277">
        <v>135792780</v>
      </c>
      <c r="C277" t="str">
        <f t="shared" si="12"/>
        <v>9:135792780</v>
      </c>
      <c r="D277">
        <v>3</v>
      </c>
      <c r="E277" s="1">
        <v>0.48684210500000002</v>
      </c>
      <c r="F277">
        <v>4</v>
      </c>
      <c r="G277">
        <v>1</v>
      </c>
      <c r="H277" s="4">
        <v>0.38229999999999997</v>
      </c>
      <c r="I277">
        <v>8</v>
      </c>
      <c r="J277">
        <v>3970</v>
      </c>
      <c r="K277">
        <v>0</v>
      </c>
      <c r="L277">
        <v>0</v>
      </c>
      <c r="M277">
        <v>0</v>
      </c>
      <c r="N277">
        <v>0</v>
      </c>
      <c r="O277" t="str">
        <f t="shared" si="13"/>
        <v>C</v>
      </c>
      <c r="P277" t="str">
        <f t="shared" si="14"/>
        <v>T</v>
      </c>
      <c r="Q277">
        <f>IF(M277=0,0,VLOOKUP(M277,'aa codes'!$A$1:'aa codes'!$B$21,2))</f>
        <v>0</v>
      </c>
      <c r="R277">
        <f>IF(N277=0,0,VLOOKUP(N277,'aa codes'!$A$1:'aa codes'!$B$21,2))</f>
        <v>0</v>
      </c>
      <c r="S277" s="1">
        <v>0</v>
      </c>
      <c r="T277" s="1">
        <v>0.48684210500000002</v>
      </c>
    </row>
    <row r="278" spans="1:20">
      <c r="A278">
        <v>9</v>
      </c>
      <c r="B278">
        <v>135792825</v>
      </c>
      <c r="C278" t="str">
        <f t="shared" si="12"/>
        <v>9:135792825</v>
      </c>
      <c r="D278">
        <v>3</v>
      </c>
      <c r="E278" s="1">
        <v>5.1413881700000004E-3</v>
      </c>
      <c r="F278">
        <v>1</v>
      </c>
      <c r="G278">
        <v>1</v>
      </c>
      <c r="H278" s="4">
        <v>0</v>
      </c>
      <c r="I278">
        <v>8</v>
      </c>
      <c r="J278">
        <v>3925</v>
      </c>
      <c r="K278">
        <v>0</v>
      </c>
      <c r="L278">
        <v>0</v>
      </c>
      <c r="M278">
        <v>0</v>
      </c>
      <c r="N278">
        <v>0</v>
      </c>
      <c r="O278" t="str">
        <f t="shared" si="13"/>
        <v>C</v>
      </c>
      <c r="P278" t="str">
        <f t="shared" si="14"/>
        <v>A</v>
      </c>
      <c r="Q278">
        <f>IF(M278=0,0,VLOOKUP(M278,'aa codes'!$A$1:'aa codes'!$B$21,2))</f>
        <v>0</v>
      </c>
      <c r="R278">
        <f>IF(N278=0,0,VLOOKUP(N278,'aa codes'!$A$1:'aa codes'!$B$21,2))</f>
        <v>0</v>
      </c>
      <c r="S278" s="1">
        <v>5.1413881700000004E-3</v>
      </c>
      <c r="T278" s="1">
        <v>0</v>
      </c>
    </row>
    <row r="279" spans="1:20">
      <c r="A279">
        <v>9</v>
      </c>
      <c r="B279">
        <v>135792826</v>
      </c>
      <c r="C279" t="str">
        <f t="shared" si="12"/>
        <v>9:135792826</v>
      </c>
      <c r="D279">
        <v>4</v>
      </c>
      <c r="E279" s="1">
        <v>5.07614213E-3</v>
      </c>
      <c r="F279">
        <v>3</v>
      </c>
      <c r="G279">
        <v>1</v>
      </c>
      <c r="H279" s="4">
        <v>0</v>
      </c>
      <c r="I279">
        <v>8</v>
      </c>
      <c r="J279">
        <v>3924</v>
      </c>
      <c r="K279">
        <v>0</v>
      </c>
      <c r="L279">
        <v>0</v>
      </c>
      <c r="M279">
        <v>0</v>
      </c>
      <c r="N279">
        <v>0</v>
      </c>
      <c r="O279" t="str">
        <f t="shared" si="13"/>
        <v>T</v>
      </c>
      <c r="P279" t="str">
        <f t="shared" si="14"/>
        <v>C</v>
      </c>
      <c r="Q279">
        <f>IF(M279=0,0,VLOOKUP(M279,'aa codes'!$A$1:'aa codes'!$B$21,2))</f>
        <v>0</v>
      </c>
      <c r="R279">
        <f>IF(N279=0,0,VLOOKUP(N279,'aa codes'!$A$1:'aa codes'!$B$21,2))</f>
        <v>0</v>
      </c>
      <c r="S279" s="1">
        <v>0</v>
      </c>
      <c r="T279" s="1">
        <v>5.07614213E-3</v>
      </c>
    </row>
    <row r="280" spans="1:20">
      <c r="A280">
        <v>9</v>
      </c>
      <c r="B280">
        <v>135792828</v>
      </c>
      <c r="C280" t="str">
        <f t="shared" si="12"/>
        <v>9:135792828</v>
      </c>
      <c r="D280">
        <v>3</v>
      </c>
      <c r="E280" s="1">
        <v>5.1679586600000002E-3</v>
      </c>
      <c r="F280">
        <v>1</v>
      </c>
      <c r="G280">
        <v>1</v>
      </c>
      <c r="H280" s="4">
        <v>0</v>
      </c>
      <c r="I280">
        <v>8</v>
      </c>
      <c r="J280">
        <v>3922</v>
      </c>
      <c r="K280">
        <v>0</v>
      </c>
      <c r="L280">
        <v>0</v>
      </c>
      <c r="M280">
        <v>0</v>
      </c>
      <c r="N280">
        <v>0</v>
      </c>
      <c r="O280" t="str">
        <f t="shared" si="13"/>
        <v>C</v>
      </c>
      <c r="P280" t="str">
        <f t="shared" si="14"/>
        <v>A</v>
      </c>
      <c r="Q280">
        <f>IF(M280=0,0,VLOOKUP(M280,'aa codes'!$A$1:'aa codes'!$B$21,2))</f>
        <v>0</v>
      </c>
      <c r="R280">
        <f>IF(N280=0,0,VLOOKUP(N280,'aa codes'!$A$1:'aa codes'!$B$21,2))</f>
        <v>0</v>
      </c>
      <c r="S280" s="1">
        <v>5.1679586600000002E-3</v>
      </c>
      <c r="T280" s="1">
        <v>0</v>
      </c>
    </row>
    <row r="281" spans="1:20">
      <c r="A281">
        <v>9</v>
      </c>
      <c r="B281">
        <v>135792835</v>
      </c>
      <c r="C281" t="str">
        <f t="shared" si="12"/>
        <v>9:135792835</v>
      </c>
      <c r="D281">
        <v>1</v>
      </c>
      <c r="E281" s="1">
        <v>5.5865921799999997E-3</v>
      </c>
      <c r="F281">
        <v>2</v>
      </c>
      <c r="G281">
        <v>1</v>
      </c>
      <c r="H281" s="4">
        <v>0</v>
      </c>
      <c r="I281">
        <v>8</v>
      </c>
      <c r="J281">
        <v>3915</v>
      </c>
      <c r="K281">
        <v>0</v>
      </c>
      <c r="L281">
        <v>0</v>
      </c>
      <c r="M281">
        <v>0</v>
      </c>
      <c r="N281">
        <v>0</v>
      </c>
      <c r="O281" t="str">
        <f t="shared" si="13"/>
        <v>A</v>
      </c>
      <c r="P281" t="str">
        <f t="shared" si="14"/>
        <v>G</v>
      </c>
      <c r="Q281">
        <f>IF(M281=0,0,VLOOKUP(M281,'aa codes'!$A$1:'aa codes'!$B$21,2))</f>
        <v>0</v>
      </c>
      <c r="R281">
        <f>IF(N281=0,0,VLOOKUP(N281,'aa codes'!$A$1:'aa codes'!$B$21,2))</f>
        <v>0</v>
      </c>
      <c r="S281" s="1">
        <v>0</v>
      </c>
      <c r="T281" s="1">
        <v>5.5865921799999997E-3</v>
      </c>
    </row>
    <row r="282" spans="1:20">
      <c r="A282">
        <v>9</v>
      </c>
      <c r="B282">
        <v>135792837</v>
      </c>
      <c r="C282" t="str">
        <f t="shared" si="12"/>
        <v>9:135792837</v>
      </c>
      <c r="D282">
        <v>3</v>
      </c>
      <c r="E282" s="1">
        <v>5.5555555599999997E-3</v>
      </c>
      <c r="F282">
        <v>4</v>
      </c>
      <c r="G282">
        <v>1</v>
      </c>
      <c r="H282" s="4">
        <v>0</v>
      </c>
      <c r="I282">
        <v>8</v>
      </c>
      <c r="J282">
        <v>3913</v>
      </c>
      <c r="K282">
        <v>0</v>
      </c>
      <c r="L282">
        <v>0</v>
      </c>
      <c r="M282">
        <v>0</v>
      </c>
      <c r="N282">
        <v>0</v>
      </c>
      <c r="O282" t="str">
        <f t="shared" si="13"/>
        <v>C</v>
      </c>
      <c r="P282" t="str">
        <f t="shared" si="14"/>
        <v>T</v>
      </c>
      <c r="Q282">
        <f>IF(M282=0,0,VLOOKUP(M282,'aa codes'!$A$1:'aa codes'!$B$21,2))</f>
        <v>0</v>
      </c>
      <c r="R282">
        <f>IF(N282=0,0,VLOOKUP(N282,'aa codes'!$A$1:'aa codes'!$B$21,2))</f>
        <v>0</v>
      </c>
      <c r="S282" s="1">
        <v>0</v>
      </c>
      <c r="T282" s="1">
        <v>5.5555555599999997E-3</v>
      </c>
    </row>
    <row r="283" spans="1:20">
      <c r="A283">
        <v>9</v>
      </c>
      <c r="B283">
        <v>135792841</v>
      </c>
      <c r="C283" t="str">
        <f t="shared" si="12"/>
        <v>9:135792841</v>
      </c>
      <c r="D283">
        <v>3</v>
      </c>
      <c r="E283" s="1">
        <v>5.07614213E-3</v>
      </c>
      <c r="F283">
        <v>4</v>
      </c>
      <c r="G283">
        <v>1</v>
      </c>
      <c r="H283" s="4">
        <v>0</v>
      </c>
      <c r="I283">
        <v>8</v>
      </c>
      <c r="J283">
        <v>3909</v>
      </c>
      <c r="K283">
        <v>0</v>
      </c>
      <c r="L283">
        <v>0</v>
      </c>
      <c r="M283">
        <v>0</v>
      </c>
      <c r="N283">
        <v>0</v>
      </c>
      <c r="O283" t="str">
        <f t="shared" si="13"/>
        <v>C</v>
      </c>
      <c r="P283" t="str">
        <f t="shared" si="14"/>
        <v>T</v>
      </c>
      <c r="Q283">
        <f>IF(M283=0,0,VLOOKUP(M283,'aa codes'!$A$1:'aa codes'!$B$21,2))</f>
        <v>0</v>
      </c>
      <c r="R283">
        <f>IF(N283=0,0,VLOOKUP(N283,'aa codes'!$A$1:'aa codes'!$B$21,2))</f>
        <v>0</v>
      </c>
      <c r="S283" s="1">
        <v>0</v>
      </c>
      <c r="T283" s="1">
        <v>5.07614213E-3</v>
      </c>
    </row>
    <row r="284" spans="1:20">
      <c r="A284">
        <v>9</v>
      </c>
      <c r="B284">
        <v>135792842</v>
      </c>
      <c r="C284" t="str">
        <f t="shared" si="12"/>
        <v>9:135792842</v>
      </c>
      <c r="D284">
        <v>3</v>
      </c>
      <c r="E284" s="1">
        <v>5.1020408199999997E-3</v>
      </c>
      <c r="F284">
        <v>4</v>
      </c>
      <c r="G284">
        <v>1</v>
      </c>
      <c r="H284" s="4">
        <v>0</v>
      </c>
      <c r="I284">
        <v>8</v>
      </c>
      <c r="J284">
        <v>3908</v>
      </c>
      <c r="K284">
        <v>0</v>
      </c>
      <c r="L284">
        <v>0</v>
      </c>
      <c r="M284">
        <v>0</v>
      </c>
      <c r="N284">
        <v>0</v>
      </c>
      <c r="O284" t="str">
        <f t="shared" si="13"/>
        <v>C</v>
      </c>
      <c r="P284" t="str">
        <f t="shared" si="14"/>
        <v>T</v>
      </c>
      <c r="Q284">
        <f>IF(M284=0,0,VLOOKUP(M284,'aa codes'!$A$1:'aa codes'!$B$21,2))</f>
        <v>0</v>
      </c>
      <c r="R284">
        <f>IF(N284=0,0,VLOOKUP(N284,'aa codes'!$A$1:'aa codes'!$B$21,2))</f>
        <v>0</v>
      </c>
      <c r="S284" s="1">
        <v>0</v>
      </c>
      <c r="T284" s="1">
        <v>5.1020408199999997E-3</v>
      </c>
    </row>
    <row r="285" spans="1:20">
      <c r="A285">
        <v>9</v>
      </c>
      <c r="B285">
        <v>135792843</v>
      </c>
      <c r="C285" t="str">
        <f t="shared" si="12"/>
        <v>9:135792843</v>
      </c>
      <c r="D285">
        <v>1</v>
      </c>
      <c r="E285" s="1">
        <v>5.1813471499999996E-3</v>
      </c>
      <c r="F285">
        <v>2</v>
      </c>
      <c r="G285">
        <v>1</v>
      </c>
      <c r="H285" s="4">
        <v>0</v>
      </c>
      <c r="I285">
        <v>8</v>
      </c>
      <c r="J285">
        <v>3907</v>
      </c>
      <c r="K285">
        <v>0</v>
      </c>
      <c r="L285">
        <v>0</v>
      </c>
      <c r="M285">
        <v>0</v>
      </c>
      <c r="N285">
        <v>0</v>
      </c>
      <c r="O285" t="str">
        <f t="shared" si="13"/>
        <v>A</v>
      </c>
      <c r="P285" t="str">
        <f t="shared" si="14"/>
        <v>G</v>
      </c>
      <c r="Q285">
        <f>IF(M285=0,0,VLOOKUP(M285,'aa codes'!$A$1:'aa codes'!$B$21,2))</f>
        <v>0</v>
      </c>
      <c r="R285">
        <f>IF(N285=0,0,VLOOKUP(N285,'aa codes'!$A$1:'aa codes'!$B$21,2))</f>
        <v>0</v>
      </c>
      <c r="S285" s="1">
        <v>2.72479564E-3</v>
      </c>
      <c r="T285" s="1">
        <v>5.1813471499999996E-3</v>
      </c>
    </row>
    <row r="286" spans="1:20">
      <c r="A286">
        <v>9</v>
      </c>
      <c r="B286">
        <v>135792845</v>
      </c>
      <c r="C286" t="str">
        <f t="shared" si="12"/>
        <v>9:135792845</v>
      </c>
      <c r="D286">
        <v>2</v>
      </c>
      <c r="E286" s="1">
        <v>5.2356020900000003E-3</v>
      </c>
      <c r="F286">
        <v>1</v>
      </c>
      <c r="G286">
        <v>1</v>
      </c>
      <c r="H286" s="4">
        <v>0</v>
      </c>
      <c r="I286">
        <v>8</v>
      </c>
      <c r="J286">
        <v>3905</v>
      </c>
      <c r="K286">
        <v>0</v>
      </c>
      <c r="L286">
        <v>0</v>
      </c>
      <c r="M286">
        <v>0</v>
      </c>
      <c r="N286">
        <v>0</v>
      </c>
      <c r="O286" t="str">
        <f t="shared" si="13"/>
        <v>G</v>
      </c>
      <c r="P286" t="str">
        <f t="shared" si="14"/>
        <v>A</v>
      </c>
      <c r="Q286">
        <f>IF(M286=0,0,VLOOKUP(M286,'aa codes'!$A$1:'aa codes'!$B$21,2))</f>
        <v>0</v>
      </c>
      <c r="R286">
        <f>IF(N286=0,0,VLOOKUP(N286,'aa codes'!$A$1:'aa codes'!$B$21,2))</f>
        <v>0</v>
      </c>
      <c r="S286" s="1">
        <v>0</v>
      </c>
      <c r="T286" s="1">
        <v>5.2356020900000003E-3</v>
      </c>
    </row>
    <row r="287" spans="1:20">
      <c r="A287">
        <v>9</v>
      </c>
      <c r="B287">
        <v>135792846</v>
      </c>
      <c r="C287" t="str">
        <f t="shared" si="12"/>
        <v>9:135792846</v>
      </c>
      <c r="D287">
        <v>4</v>
      </c>
      <c r="E287" s="1">
        <v>5.2910052900000002E-3</v>
      </c>
      <c r="F287">
        <v>2</v>
      </c>
      <c r="G287">
        <v>1</v>
      </c>
      <c r="H287" s="4">
        <v>0</v>
      </c>
      <c r="I287">
        <v>8</v>
      </c>
      <c r="J287">
        <v>3904</v>
      </c>
      <c r="K287">
        <v>0</v>
      </c>
      <c r="L287">
        <v>0</v>
      </c>
      <c r="M287">
        <v>0</v>
      </c>
      <c r="N287">
        <v>0</v>
      </c>
      <c r="O287" t="str">
        <f t="shared" si="13"/>
        <v>T</v>
      </c>
      <c r="P287" t="str">
        <f t="shared" si="14"/>
        <v>G</v>
      </c>
      <c r="Q287">
        <f>IF(M287=0,0,VLOOKUP(M287,'aa codes'!$A$1:'aa codes'!$B$21,2))</f>
        <v>0</v>
      </c>
      <c r="R287">
        <f>IF(N287=0,0,VLOOKUP(N287,'aa codes'!$A$1:'aa codes'!$B$21,2))</f>
        <v>0</v>
      </c>
      <c r="S287" s="1">
        <v>0</v>
      </c>
      <c r="T287" s="1">
        <v>5.2910052900000002E-3</v>
      </c>
    </row>
    <row r="288" spans="1:20">
      <c r="A288">
        <v>9</v>
      </c>
      <c r="B288">
        <v>135792847</v>
      </c>
      <c r="C288" t="str">
        <f t="shared" si="12"/>
        <v>9:135792847</v>
      </c>
      <c r="D288">
        <v>1</v>
      </c>
      <c r="E288" s="1">
        <v>5.3475935799999997E-3</v>
      </c>
      <c r="F288">
        <v>3</v>
      </c>
      <c r="G288">
        <v>1</v>
      </c>
      <c r="H288" s="4">
        <v>0</v>
      </c>
      <c r="I288">
        <v>8</v>
      </c>
      <c r="J288">
        <v>3903</v>
      </c>
      <c r="K288">
        <v>0</v>
      </c>
      <c r="L288">
        <v>0</v>
      </c>
      <c r="M288">
        <v>0</v>
      </c>
      <c r="N288">
        <v>0</v>
      </c>
      <c r="O288" t="str">
        <f t="shared" si="13"/>
        <v>A</v>
      </c>
      <c r="P288" t="str">
        <f t="shared" si="14"/>
        <v>C</v>
      </c>
      <c r="Q288">
        <f>IF(M288=0,0,VLOOKUP(M288,'aa codes'!$A$1:'aa codes'!$B$21,2))</f>
        <v>0</v>
      </c>
      <c r="R288">
        <f>IF(N288=0,0,VLOOKUP(N288,'aa codes'!$A$1:'aa codes'!$B$21,2))</f>
        <v>0</v>
      </c>
      <c r="S288" s="1">
        <v>0</v>
      </c>
      <c r="T288" s="1">
        <v>5.3475935799999997E-3</v>
      </c>
    </row>
    <row r="289" spans="1:20">
      <c r="A289">
        <v>9</v>
      </c>
      <c r="B289">
        <v>135792851</v>
      </c>
      <c r="C289" t="str">
        <f t="shared" si="12"/>
        <v>9:135792851</v>
      </c>
      <c r="D289">
        <v>2</v>
      </c>
      <c r="E289" s="1">
        <v>5.2910052900000002E-3</v>
      </c>
      <c r="F289">
        <v>1</v>
      </c>
      <c r="G289">
        <v>1</v>
      </c>
      <c r="H289" s="4">
        <v>0</v>
      </c>
      <c r="I289">
        <v>8</v>
      </c>
      <c r="J289">
        <v>3899</v>
      </c>
      <c r="K289">
        <v>0</v>
      </c>
      <c r="L289">
        <v>0</v>
      </c>
      <c r="M289">
        <v>0</v>
      </c>
      <c r="N289">
        <v>0</v>
      </c>
      <c r="O289" t="str">
        <f t="shared" si="13"/>
        <v>G</v>
      </c>
      <c r="P289" t="str">
        <f t="shared" si="14"/>
        <v>A</v>
      </c>
      <c r="Q289">
        <f>IF(M289=0,0,VLOOKUP(M289,'aa codes'!$A$1:'aa codes'!$B$21,2))</f>
        <v>0</v>
      </c>
      <c r="R289">
        <f>IF(N289=0,0,VLOOKUP(N289,'aa codes'!$A$1:'aa codes'!$B$21,2))</f>
        <v>0</v>
      </c>
      <c r="S289" s="1">
        <v>0</v>
      </c>
      <c r="T289" s="1">
        <v>5.2910052900000002E-3</v>
      </c>
    </row>
    <row r="290" spans="1:20">
      <c r="A290">
        <v>9</v>
      </c>
      <c r="B290">
        <v>135792853</v>
      </c>
      <c r="C290" t="str">
        <f t="shared" si="12"/>
        <v>9:135792853</v>
      </c>
      <c r="D290">
        <v>2</v>
      </c>
      <c r="E290" s="1">
        <v>5.4054054100000004E-3</v>
      </c>
      <c r="F290">
        <v>3</v>
      </c>
      <c r="G290">
        <v>1</v>
      </c>
      <c r="H290" s="4">
        <v>0</v>
      </c>
      <c r="I290">
        <v>8</v>
      </c>
      <c r="J290">
        <v>3897</v>
      </c>
      <c r="K290">
        <v>0</v>
      </c>
      <c r="L290">
        <v>0</v>
      </c>
      <c r="M290">
        <v>0</v>
      </c>
      <c r="N290">
        <v>0</v>
      </c>
      <c r="O290" t="str">
        <f t="shared" si="13"/>
        <v>G</v>
      </c>
      <c r="P290" t="str">
        <f t="shared" si="14"/>
        <v>C</v>
      </c>
      <c r="Q290">
        <f>IF(M290=0,0,VLOOKUP(M290,'aa codes'!$A$1:'aa codes'!$B$21,2))</f>
        <v>0</v>
      </c>
      <c r="R290">
        <f>IF(N290=0,0,VLOOKUP(N290,'aa codes'!$A$1:'aa codes'!$B$21,2))</f>
        <v>0</v>
      </c>
      <c r="S290" s="1">
        <v>0</v>
      </c>
      <c r="T290" s="1">
        <v>5.4054054100000004E-3</v>
      </c>
    </row>
    <row r="291" spans="1:20">
      <c r="A291">
        <v>9</v>
      </c>
      <c r="B291">
        <v>135792855</v>
      </c>
      <c r="C291" t="str">
        <f t="shared" si="12"/>
        <v>9:135792855</v>
      </c>
      <c r="D291">
        <v>4</v>
      </c>
      <c r="E291" s="1">
        <v>5.6179775300000002E-3</v>
      </c>
      <c r="F291">
        <v>3</v>
      </c>
      <c r="G291">
        <v>1</v>
      </c>
      <c r="H291" s="4">
        <v>0</v>
      </c>
      <c r="I291">
        <v>8</v>
      </c>
      <c r="J291">
        <v>3895</v>
      </c>
      <c r="K291">
        <v>0</v>
      </c>
      <c r="L291">
        <v>0</v>
      </c>
      <c r="M291">
        <v>0</v>
      </c>
      <c r="N291">
        <v>0</v>
      </c>
      <c r="O291" t="str">
        <f t="shared" si="13"/>
        <v>T</v>
      </c>
      <c r="P291" t="str">
        <f t="shared" si="14"/>
        <v>C</v>
      </c>
      <c r="Q291">
        <f>IF(M291=0,0,VLOOKUP(M291,'aa codes'!$A$1:'aa codes'!$B$21,2))</f>
        <v>0</v>
      </c>
      <c r="R291">
        <f>IF(N291=0,0,VLOOKUP(N291,'aa codes'!$A$1:'aa codes'!$B$21,2))</f>
        <v>0</v>
      </c>
      <c r="S291" s="1">
        <v>5.6179775300000002E-3</v>
      </c>
      <c r="T291" s="1">
        <v>0</v>
      </c>
    </row>
    <row r="292" spans="1:20">
      <c r="A292">
        <v>9</v>
      </c>
      <c r="B292">
        <v>135792864</v>
      </c>
      <c r="C292" t="str">
        <f t="shared" si="12"/>
        <v>9:135792864</v>
      </c>
      <c r="D292">
        <v>3</v>
      </c>
      <c r="E292" s="1">
        <v>5.8823529400000001E-3</v>
      </c>
      <c r="F292">
        <v>14</v>
      </c>
      <c r="G292">
        <v>1</v>
      </c>
      <c r="H292" s="4">
        <v>0</v>
      </c>
      <c r="I292">
        <v>8</v>
      </c>
      <c r="J292">
        <v>3886</v>
      </c>
      <c r="K292">
        <v>0</v>
      </c>
      <c r="L292">
        <v>0</v>
      </c>
      <c r="M292">
        <v>0</v>
      </c>
      <c r="N292">
        <v>0</v>
      </c>
      <c r="O292" t="str">
        <f t="shared" si="13"/>
        <v>C</v>
      </c>
      <c r="P292" t="str">
        <f t="shared" si="14"/>
        <v>2NT</v>
      </c>
      <c r="Q292">
        <f>IF(M292=0,0,VLOOKUP(M292,'aa codes'!$A$1:'aa codes'!$B$21,2))</f>
        <v>0</v>
      </c>
      <c r="R292">
        <f>IF(N292=0,0,VLOOKUP(N292,'aa codes'!$A$1:'aa codes'!$B$21,2))</f>
        <v>0</v>
      </c>
      <c r="S292" s="1">
        <v>0</v>
      </c>
      <c r="T292" s="1">
        <v>5.8823529400000001E-3</v>
      </c>
    </row>
    <row r="293" spans="1:20">
      <c r="A293">
        <v>9</v>
      </c>
      <c r="B293">
        <v>135792865</v>
      </c>
      <c r="C293" t="str">
        <f t="shared" si="12"/>
        <v>9:135792865</v>
      </c>
      <c r="D293">
        <v>3</v>
      </c>
      <c r="E293" s="1">
        <v>5.7142857100000001E-3</v>
      </c>
      <c r="F293">
        <v>1</v>
      </c>
      <c r="G293">
        <v>1</v>
      </c>
      <c r="H293" s="4">
        <v>0</v>
      </c>
      <c r="I293">
        <v>8</v>
      </c>
      <c r="J293">
        <v>3885</v>
      </c>
      <c r="K293">
        <v>0</v>
      </c>
      <c r="L293">
        <v>0</v>
      </c>
      <c r="M293">
        <v>0</v>
      </c>
      <c r="N293">
        <v>0</v>
      </c>
      <c r="O293" t="str">
        <f t="shared" si="13"/>
        <v>C</v>
      </c>
      <c r="P293" t="str">
        <f t="shared" si="14"/>
        <v>A</v>
      </c>
      <c r="Q293">
        <f>IF(M293=0,0,VLOOKUP(M293,'aa codes'!$A$1:'aa codes'!$B$21,2))</f>
        <v>0</v>
      </c>
      <c r="R293">
        <f>IF(N293=0,0,VLOOKUP(N293,'aa codes'!$A$1:'aa codes'!$B$21,2))</f>
        <v>0</v>
      </c>
      <c r="S293" s="1">
        <v>5.7142857100000001E-3</v>
      </c>
      <c r="T293" s="1">
        <v>0</v>
      </c>
    </row>
    <row r="294" spans="1:20">
      <c r="A294">
        <v>9</v>
      </c>
      <c r="B294">
        <v>135792866</v>
      </c>
      <c r="C294" t="str">
        <f t="shared" si="12"/>
        <v>9:135792866</v>
      </c>
      <c r="D294">
        <v>3</v>
      </c>
      <c r="E294" s="1">
        <v>5.98802395E-3</v>
      </c>
      <c r="F294">
        <v>1</v>
      </c>
      <c r="G294">
        <v>1</v>
      </c>
      <c r="H294" s="4">
        <v>0</v>
      </c>
      <c r="I294">
        <v>8</v>
      </c>
      <c r="J294">
        <v>3884</v>
      </c>
      <c r="K294">
        <v>0</v>
      </c>
      <c r="L294">
        <v>0</v>
      </c>
      <c r="M294">
        <v>0</v>
      </c>
      <c r="N294">
        <v>0</v>
      </c>
      <c r="O294" t="str">
        <f t="shared" si="13"/>
        <v>C</v>
      </c>
      <c r="P294" t="str">
        <f t="shared" si="14"/>
        <v>A</v>
      </c>
      <c r="Q294">
        <f>IF(M294=0,0,VLOOKUP(M294,'aa codes'!$A$1:'aa codes'!$B$21,2))</f>
        <v>0</v>
      </c>
      <c r="R294">
        <f>IF(N294=0,0,VLOOKUP(N294,'aa codes'!$A$1:'aa codes'!$B$21,2))</f>
        <v>0</v>
      </c>
      <c r="S294" s="1">
        <v>0</v>
      </c>
      <c r="T294" s="1">
        <v>5.98802395E-3</v>
      </c>
    </row>
    <row r="295" spans="1:20">
      <c r="A295">
        <v>9</v>
      </c>
      <c r="B295">
        <v>135792867</v>
      </c>
      <c r="C295" t="str">
        <f t="shared" si="12"/>
        <v>9:135792867</v>
      </c>
      <c r="D295">
        <v>1</v>
      </c>
      <c r="E295" s="1">
        <v>6.0606060600000003E-3</v>
      </c>
      <c r="F295">
        <v>2</v>
      </c>
      <c r="G295">
        <v>1</v>
      </c>
      <c r="H295" s="4">
        <v>0</v>
      </c>
      <c r="I295">
        <v>8</v>
      </c>
      <c r="J295">
        <v>3883</v>
      </c>
      <c r="K295">
        <v>0</v>
      </c>
      <c r="L295">
        <v>0</v>
      </c>
      <c r="M295">
        <v>0</v>
      </c>
      <c r="N295">
        <v>0</v>
      </c>
      <c r="O295" t="str">
        <f t="shared" si="13"/>
        <v>A</v>
      </c>
      <c r="P295" t="str">
        <f t="shared" si="14"/>
        <v>G</v>
      </c>
      <c r="Q295">
        <f>IF(M295=0,0,VLOOKUP(M295,'aa codes'!$A$1:'aa codes'!$B$21,2))</f>
        <v>0</v>
      </c>
      <c r="R295">
        <f>IF(N295=0,0,VLOOKUP(N295,'aa codes'!$A$1:'aa codes'!$B$21,2))</f>
        <v>0</v>
      </c>
      <c r="S295" s="1">
        <v>2.8169014099999998E-3</v>
      </c>
      <c r="T295" s="1">
        <v>6.0606060600000003E-3</v>
      </c>
    </row>
    <row r="296" spans="1:20">
      <c r="A296">
        <v>9</v>
      </c>
      <c r="B296">
        <v>135792871</v>
      </c>
      <c r="C296" t="str">
        <f t="shared" si="12"/>
        <v>9:135792871</v>
      </c>
      <c r="D296">
        <v>3</v>
      </c>
      <c r="E296" s="1">
        <v>6.0975609799999997E-3</v>
      </c>
      <c r="F296">
        <v>4</v>
      </c>
      <c r="G296">
        <v>1</v>
      </c>
      <c r="H296" s="4">
        <v>0</v>
      </c>
      <c r="I296">
        <v>8</v>
      </c>
      <c r="J296">
        <v>3879</v>
      </c>
      <c r="K296">
        <v>0</v>
      </c>
      <c r="L296">
        <v>0</v>
      </c>
      <c r="M296">
        <v>0</v>
      </c>
      <c r="N296">
        <v>0</v>
      </c>
      <c r="O296" t="str">
        <f t="shared" si="13"/>
        <v>C</v>
      </c>
      <c r="P296" t="str">
        <f t="shared" si="14"/>
        <v>T</v>
      </c>
      <c r="Q296">
        <f>IF(M296=0,0,VLOOKUP(M296,'aa codes'!$A$1:'aa codes'!$B$21,2))</f>
        <v>0</v>
      </c>
      <c r="R296">
        <f>IF(N296=0,0,VLOOKUP(N296,'aa codes'!$A$1:'aa codes'!$B$21,2))</f>
        <v>0</v>
      </c>
      <c r="S296" s="1">
        <v>0</v>
      </c>
      <c r="T296" s="1">
        <v>6.0975609799999997E-3</v>
      </c>
    </row>
    <row r="297" spans="1:20">
      <c r="A297">
        <v>9</v>
      </c>
      <c r="B297">
        <v>135792880</v>
      </c>
      <c r="C297" t="str">
        <f t="shared" si="12"/>
        <v>9:135792880</v>
      </c>
      <c r="D297">
        <v>1</v>
      </c>
      <c r="E297" s="1">
        <v>5.9523809499999998E-3</v>
      </c>
      <c r="F297">
        <v>2</v>
      </c>
      <c r="G297">
        <v>1</v>
      </c>
      <c r="H297" s="4">
        <v>0</v>
      </c>
      <c r="I297">
        <v>8</v>
      </c>
      <c r="J297">
        <v>3870</v>
      </c>
      <c r="K297">
        <v>0</v>
      </c>
      <c r="L297">
        <v>0</v>
      </c>
      <c r="M297">
        <v>0</v>
      </c>
      <c r="N297">
        <v>0</v>
      </c>
      <c r="O297" t="str">
        <f t="shared" si="13"/>
        <v>A</v>
      </c>
      <c r="P297" t="str">
        <f t="shared" si="14"/>
        <v>G</v>
      </c>
      <c r="Q297">
        <f>IF(M297=0,0,VLOOKUP(M297,'aa codes'!$A$1:'aa codes'!$B$21,2))</f>
        <v>0</v>
      </c>
      <c r="R297">
        <f>IF(N297=0,0,VLOOKUP(N297,'aa codes'!$A$1:'aa codes'!$B$21,2))</f>
        <v>0</v>
      </c>
      <c r="S297" s="1">
        <v>3.0674846600000001E-3</v>
      </c>
      <c r="T297" s="1">
        <v>5.9523809499999998E-3</v>
      </c>
    </row>
    <row r="298" spans="1:20">
      <c r="A298">
        <v>9</v>
      </c>
      <c r="B298">
        <v>135792884</v>
      </c>
      <c r="C298" t="str">
        <f t="shared" si="12"/>
        <v>9:135792884</v>
      </c>
      <c r="D298">
        <v>1</v>
      </c>
      <c r="E298" s="1">
        <v>5.9523809499999998E-3</v>
      </c>
      <c r="F298">
        <v>3</v>
      </c>
      <c r="G298">
        <v>1</v>
      </c>
      <c r="H298" s="4">
        <v>0</v>
      </c>
      <c r="I298">
        <v>8</v>
      </c>
      <c r="J298">
        <v>3866</v>
      </c>
      <c r="K298">
        <v>0</v>
      </c>
      <c r="L298">
        <v>0</v>
      </c>
      <c r="M298">
        <v>0</v>
      </c>
      <c r="N298">
        <v>0</v>
      </c>
      <c r="O298" t="str">
        <f t="shared" si="13"/>
        <v>A</v>
      </c>
      <c r="P298" t="str">
        <f t="shared" si="14"/>
        <v>C</v>
      </c>
      <c r="Q298">
        <f>IF(M298=0,0,VLOOKUP(M298,'aa codes'!$A$1:'aa codes'!$B$21,2))</f>
        <v>0</v>
      </c>
      <c r="R298">
        <f>IF(N298=0,0,VLOOKUP(N298,'aa codes'!$A$1:'aa codes'!$B$21,2))</f>
        <v>0</v>
      </c>
      <c r="S298" s="1">
        <v>0</v>
      </c>
      <c r="T298" s="1">
        <v>5.9523809499999998E-3</v>
      </c>
    </row>
    <row r="299" spans="1:20">
      <c r="A299">
        <v>9</v>
      </c>
      <c r="B299">
        <v>135792892</v>
      </c>
      <c r="C299" t="str">
        <f t="shared" si="12"/>
        <v>9:135792892</v>
      </c>
      <c r="D299">
        <v>3</v>
      </c>
      <c r="E299" s="1">
        <v>1.1627907E-2</v>
      </c>
      <c r="F299">
        <v>4</v>
      </c>
      <c r="G299">
        <v>1</v>
      </c>
      <c r="H299" s="4">
        <v>0</v>
      </c>
      <c r="I299">
        <v>8</v>
      </c>
      <c r="J299">
        <v>3858</v>
      </c>
      <c r="K299">
        <v>0</v>
      </c>
      <c r="L299">
        <v>0</v>
      </c>
      <c r="M299">
        <v>0</v>
      </c>
      <c r="N299">
        <v>0</v>
      </c>
      <c r="O299" t="str">
        <f t="shared" si="13"/>
        <v>C</v>
      </c>
      <c r="P299" t="str">
        <f t="shared" si="14"/>
        <v>T</v>
      </c>
      <c r="Q299">
        <f>IF(M299=0,0,VLOOKUP(M299,'aa codes'!$A$1:'aa codes'!$B$21,2))</f>
        <v>0</v>
      </c>
      <c r="R299">
        <f>IF(N299=0,0,VLOOKUP(N299,'aa codes'!$A$1:'aa codes'!$B$21,2))</f>
        <v>0</v>
      </c>
      <c r="S299" s="1">
        <v>3.2362459500000001E-3</v>
      </c>
      <c r="T299" s="1">
        <v>1.1627907E-2</v>
      </c>
    </row>
    <row r="300" spans="1:20">
      <c r="A300">
        <v>9</v>
      </c>
      <c r="B300">
        <v>135792907</v>
      </c>
      <c r="C300" t="str">
        <f t="shared" si="12"/>
        <v>9:135792907</v>
      </c>
      <c r="D300">
        <v>2</v>
      </c>
      <c r="E300" s="1">
        <v>5.64971751E-3</v>
      </c>
      <c r="F300">
        <v>1</v>
      </c>
      <c r="G300">
        <v>1</v>
      </c>
      <c r="H300" s="4">
        <v>0</v>
      </c>
      <c r="I300">
        <v>8</v>
      </c>
      <c r="J300">
        <v>3843</v>
      </c>
      <c r="K300">
        <v>0</v>
      </c>
      <c r="L300">
        <v>0</v>
      </c>
      <c r="M300">
        <v>0</v>
      </c>
      <c r="N300">
        <v>0</v>
      </c>
      <c r="O300" t="str">
        <f t="shared" si="13"/>
        <v>G</v>
      </c>
      <c r="P300" t="str">
        <f t="shared" si="14"/>
        <v>A</v>
      </c>
      <c r="Q300">
        <f>IF(M300=0,0,VLOOKUP(M300,'aa codes'!$A$1:'aa codes'!$B$21,2))</f>
        <v>0</v>
      </c>
      <c r="R300">
        <f>IF(N300=0,0,VLOOKUP(N300,'aa codes'!$A$1:'aa codes'!$B$21,2))</f>
        <v>0</v>
      </c>
      <c r="S300" s="1">
        <v>0</v>
      </c>
      <c r="T300" s="1">
        <v>5.64971751E-3</v>
      </c>
    </row>
    <row r="301" spans="1:20">
      <c r="A301">
        <v>9</v>
      </c>
      <c r="B301">
        <v>135792918</v>
      </c>
      <c r="C301" t="str">
        <f t="shared" si="12"/>
        <v>9:135792918</v>
      </c>
      <c r="D301">
        <v>3</v>
      </c>
      <c r="E301" s="1">
        <v>5.26315789E-3</v>
      </c>
      <c r="F301">
        <v>4</v>
      </c>
      <c r="G301">
        <v>1</v>
      </c>
      <c r="H301" s="4">
        <v>0</v>
      </c>
      <c r="I301">
        <v>8</v>
      </c>
      <c r="J301">
        <v>3832</v>
      </c>
      <c r="K301">
        <v>0</v>
      </c>
      <c r="L301">
        <v>0</v>
      </c>
      <c r="M301">
        <v>0</v>
      </c>
      <c r="N301">
        <v>0</v>
      </c>
      <c r="O301" t="str">
        <f t="shared" si="13"/>
        <v>C</v>
      </c>
      <c r="P301" t="str">
        <f t="shared" si="14"/>
        <v>T</v>
      </c>
      <c r="Q301">
        <f>IF(M301=0,0,VLOOKUP(M301,'aa codes'!$A$1:'aa codes'!$B$21,2))</f>
        <v>0</v>
      </c>
      <c r="R301">
        <f>IF(N301=0,0,VLOOKUP(N301,'aa codes'!$A$1:'aa codes'!$B$21,2))</f>
        <v>0</v>
      </c>
      <c r="S301" s="1">
        <v>0</v>
      </c>
      <c r="T301" s="1">
        <v>5.26315789E-3</v>
      </c>
    </row>
    <row r="302" spans="1:20">
      <c r="A302">
        <v>9</v>
      </c>
      <c r="B302">
        <v>135792919</v>
      </c>
      <c r="C302" t="str">
        <f t="shared" si="12"/>
        <v>9:135792919</v>
      </c>
      <c r="D302">
        <v>1</v>
      </c>
      <c r="E302" s="1">
        <v>5.3475935799999997E-3</v>
      </c>
      <c r="F302">
        <v>2</v>
      </c>
      <c r="G302">
        <v>1</v>
      </c>
      <c r="H302" s="4">
        <v>0</v>
      </c>
      <c r="I302">
        <v>8</v>
      </c>
      <c r="J302">
        <v>3831</v>
      </c>
      <c r="K302">
        <v>0</v>
      </c>
      <c r="L302">
        <v>0</v>
      </c>
      <c r="M302">
        <v>0</v>
      </c>
      <c r="N302">
        <v>0</v>
      </c>
      <c r="O302" t="str">
        <f t="shared" si="13"/>
        <v>A</v>
      </c>
      <c r="P302" t="str">
        <f t="shared" si="14"/>
        <v>G</v>
      </c>
      <c r="Q302">
        <f>IF(M302=0,0,VLOOKUP(M302,'aa codes'!$A$1:'aa codes'!$B$21,2))</f>
        <v>0</v>
      </c>
      <c r="R302">
        <f>IF(N302=0,0,VLOOKUP(N302,'aa codes'!$A$1:'aa codes'!$B$21,2))</f>
        <v>0</v>
      </c>
      <c r="S302" s="1">
        <v>0</v>
      </c>
      <c r="T302" s="1">
        <v>5.3475935799999997E-3</v>
      </c>
    </row>
    <row r="303" spans="1:20">
      <c r="A303">
        <v>9</v>
      </c>
      <c r="B303">
        <v>135792924</v>
      </c>
      <c r="C303" t="str">
        <f t="shared" si="12"/>
        <v>9:135792924</v>
      </c>
      <c r="D303">
        <v>2</v>
      </c>
      <c r="E303" s="1">
        <v>5.0505050500000001E-3</v>
      </c>
      <c r="F303">
        <v>1</v>
      </c>
      <c r="G303">
        <v>1</v>
      </c>
      <c r="H303" s="4">
        <v>9.7E-5</v>
      </c>
      <c r="I303">
        <v>8</v>
      </c>
      <c r="J303">
        <v>3826</v>
      </c>
      <c r="K303">
        <v>0</v>
      </c>
      <c r="L303">
        <v>0</v>
      </c>
      <c r="M303">
        <v>0</v>
      </c>
      <c r="N303">
        <v>0</v>
      </c>
      <c r="O303" t="str">
        <f t="shared" si="13"/>
        <v>G</v>
      </c>
      <c r="P303" t="str">
        <f t="shared" si="14"/>
        <v>A</v>
      </c>
      <c r="Q303">
        <f>IF(M303=0,0,VLOOKUP(M303,'aa codes'!$A$1:'aa codes'!$B$21,2))</f>
        <v>0</v>
      </c>
      <c r="R303">
        <f>IF(N303=0,0,VLOOKUP(N303,'aa codes'!$A$1:'aa codes'!$B$21,2))</f>
        <v>0</v>
      </c>
      <c r="S303" s="1">
        <v>0</v>
      </c>
      <c r="T303" s="1">
        <v>5.0505050500000001E-3</v>
      </c>
    </row>
    <row r="304" spans="1:20">
      <c r="A304">
        <v>9</v>
      </c>
      <c r="B304">
        <v>135792939</v>
      </c>
      <c r="C304" t="str">
        <f t="shared" si="12"/>
        <v>9:135792939</v>
      </c>
      <c r="D304">
        <v>2</v>
      </c>
      <c r="E304" s="1">
        <v>8.9686098699999998E-3</v>
      </c>
      <c r="F304">
        <v>1</v>
      </c>
      <c r="G304">
        <v>1</v>
      </c>
      <c r="H304" s="4">
        <v>0</v>
      </c>
      <c r="I304">
        <v>8</v>
      </c>
      <c r="J304">
        <v>3811</v>
      </c>
      <c r="K304">
        <v>0</v>
      </c>
      <c r="L304">
        <v>0</v>
      </c>
      <c r="M304">
        <v>0</v>
      </c>
      <c r="N304">
        <v>0</v>
      </c>
      <c r="O304" t="str">
        <f t="shared" si="13"/>
        <v>G</v>
      </c>
      <c r="P304" t="str">
        <f t="shared" si="14"/>
        <v>A</v>
      </c>
      <c r="Q304">
        <f>IF(M304=0,0,VLOOKUP(M304,'aa codes'!$A$1:'aa codes'!$B$21,2))</f>
        <v>0</v>
      </c>
      <c r="R304">
        <f>IF(N304=0,0,VLOOKUP(N304,'aa codes'!$A$1:'aa codes'!$B$21,2))</f>
        <v>0</v>
      </c>
      <c r="S304" s="1">
        <v>0</v>
      </c>
      <c r="T304" s="1">
        <v>8.9686098699999998E-3</v>
      </c>
    </row>
    <row r="305" spans="1:20">
      <c r="A305">
        <v>9</v>
      </c>
      <c r="B305">
        <v>135793035</v>
      </c>
      <c r="C305" t="str">
        <f t="shared" si="12"/>
        <v>9:135793035</v>
      </c>
      <c r="D305">
        <v>4</v>
      </c>
      <c r="E305" s="1">
        <v>0.50411522600000003</v>
      </c>
      <c r="F305">
        <v>1</v>
      </c>
      <c r="G305">
        <v>1</v>
      </c>
      <c r="H305" s="4">
        <v>0.59030000000000005</v>
      </c>
      <c r="I305">
        <v>8</v>
      </c>
      <c r="J305">
        <v>3715</v>
      </c>
      <c r="K305">
        <v>0</v>
      </c>
      <c r="L305">
        <v>0</v>
      </c>
      <c r="M305">
        <v>0</v>
      </c>
      <c r="N305">
        <v>0</v>
      </c>
      <c r="O305" t="str">
        <f t="shared" si="13"/>
        <v>T</v>
      </c>
      <c r="P305" t="str">
        <f t="shared" si="14"/>
        <v>A</v>
      </c>
      <c r="Q305">
        <f>IF(M305=0,0,VLOOKUP(M305,'aa codes'!$A$1:'aa codes'!$B$21,2))</f>
        <v>0</v>
      </c>
      <c r="R305">
        <f>IF(N305=0,0,VLOOKUP(N305,'aa codes'!$A$1:'aa codes'!$B$21,2))</f>
        <v>0</v>
      </c>
      <c r="S305" s="1">
        <v>1.3986014000000001E-3</v>
      </c>
      <c r="T305" s="1">
        <v>0.50411522600000003</v>
      </c>
    </row>
    <row r="306" spans="1:20">
      <c r="A306">
        <v>9</v>
      </c>
      <c r="B306">
        <v>135798259</v>
      </c>
      <c r="C306" t="str">
        <f t="shared" si="12"/>
        <v>9:135798259</v>
      </c>
      <c r="D306">
        <v>2</v>
      </c>
      <c r="E306" s="1">
        <v>7.7942322699999997E-3</v>
      </c>
      <c r="F306">
        <v>1</v>
      </c>
      <c r="G306">
        <v>2</v>
      </c>
      <c r="H306" s="4">
        <v>0</v>
      </c>
      <c r="I306">
        <v>6</v>
      </c>
      <c r="J306">
        <v>476</v>
      </c>
      <c r="K306">
        <v>0</v>
      </c>
      <c r="L306">
        <v>0</v>
      </c>
      <c r="M306">
        <v>0</v>
      </c>
      <c r="N306">
        <v>0</v>
      </c>
      <c r="O306" t="str">
        <f t="shared" si="13"/>
        <v>G</v>
      </c>
      <c r="P306" t="str">
        <f t="shared" si="14"/>
        <v>A</v>
      </c>
      <c r="Q306">
        <f>IF(M306=0,0,VLOOKUP(M306,'aa codes'!$A$1:'aa codes'!$B$21,2))</f>
        <v>0</v>
      </c>
      <c r="R306">
        <f>IF(N306=0,0,VLOOKUP(N306,'aa codes'!$A$1:'aa codes'!$B$21,2))</f>
        <v>0</v>
      </c>
      <c r="S306" s="1">
        <v>7.7942322699999997E-3</v>
      </c>
      <c r="T306" s="1">
        <v>6.17283951E-3</v>
      </c>
    </row>
    <row r="307" spans="1:20">
      <c r="A307">
        <v>9</v>
      </c>
      <c r="B307">
        <v>135798260</v>
      </c>
      <c r="C307" t="str">
        <f t="shared" si="12"/>
        <v>9:135798260</v>
      </c>
      <c r="D307">
        <v>1</v>
      </c>
      <c r="E307" s="1">
        <v>6.7750677499999997E-3</v>
      </c>
      <c r="F307">
        <v>2</v>
      </c>
      <c r="G307">
        <v>2</v>
      </c>
      <c r="H307" s="4">
        <v>0</v>
      </c>
      <c r="I307">
        <v>6</v>
      </c>
      <c r="J307">
        <v>475</v>
      </c>
      <c r="K307">
        <v>0</v>
      </c>
      <c r="L307">
        <v>0</v>
      </c>
      <c r="M307">
        <v>0</v>
      </c>
      <c r="N307">
        <v>0</v>
      </c>
      <c r="O307" t="str">
        <f t="shared" si="13"/>
        <v>A</v>
      </c>
      <c r="P307" t="str">
        <f t="shared" si="14"/>
        <v>G</v>
      </c>
      <c r="Q307">
        <f>IF(M307=0,0,VLOOKUP(M307,'aa codes'!$A$1:'aa codes'!$B$21,2))</f>
        <v>0</v>
      </c>
      <c r="R307">
        <f>IF(N307=0,0,VLOOKUP(N307,'aa codes'!$A$1:'aa codes'!$B$21,2))</f>
        <v>0</v>
      </c>
      <c r="S307" s="1">
        <v>5.8881256100000003E-3</v>
      </c>
      <c r="T307" s="1">
        <v>6.7750677499999997E-3</v>
      </c>
    </row>
    <row r="308" spans="1:20">
      <c r="A308">
        <v>9</v>
      </c>
      <c r="B308">
        <v>135798270</v>
      </c>
      <c r="C308" t="str">
        <f t="shared" si="12"/>
        <v>9:135798270</v>
      </c>
      <c r="D308">
        <v>1</v>
      </c>
      <c r="E308" s="1">
        <v>7.4257425700000003E-3</v>
      </c>
      <c r="F308">
        <v>3</v>
      </c>
      <c r="G308">
        <v>1</v>
      </c>
      <c r="H308" s="4">
        <v>3.2400000000000001E-5</v>
      </c>
      <c r="I308">
        <v>6</v>
      </c>
      <c r="J308">
        <v>465</v>
      </c>
      <c r="K308">
        <v>0</v>
      </c>
      <c r="L308">
        <v>0</v>
      </c>
      <c r="M308">
        <v>0</v>
      </c>
      <c r="N308">
        <v>0</v>
      </c>
      <c r="O308" t="str">
        <f t="shared" si="13"/>
        <v>A</v>
      </c>
      <c r="P308" t="str">
        <f t="shared" si="14"/>
        <v>C</v>
      </c>
      <c r="Q308">
        <f>IF(M308=0,0,VLOOKUP(M308,'aa codes'!$A$1:'aa codes'!$B$21,2))</f>
        <v>0</v>
      </c>
      <c r="R308">
        <f>IF(N308=0,0,VLOOKUP(N308,'aa codes'!$A$1:'aa codes'!$B$21,2))</f>
        <v>0</v>
      </c>
      <c r="S308" s="1">
        <v>4.5207956600000002E-3</v>
      </c>
      <c r="T308" s="1">
        <v>7.4257425700000003E-3</v>
      </c>
    </row>
    <row r="309" spans="1:20">
      <c r="A309">
        <v>9</v>
      </c>
      <c r="B309">
        <v>135798636</v>
      </c>
      <c r="C309" t="str">
        <f t="shared" si="12"/>
        <v>9:135798636</v>
      </c>
      <c r="D309">
        <v>1</v>
      </c>
      <c r="E309" s="1">
        <v>0.51296830000000004</v>
      </c>
      <c r="F309">
        <v>2</v>
      </c>
      <c r="G309">
        <v>1</v>
      </c>
      <c r="H309" s="4">
        <v>6.1019999999999998E-3</v>
      </c>
      <c r="I309">
        <v>6</v>
      </c>
      <c r="J309">
        <v>99</v>
      </c>
      <c r="K309">
        <v>0</v>
      </c>
      <c r="L309">
        <v>0</v>
      </c>
      <c r="M309">
        <v>0</v>
      </c>
      <c r="N309">
        <v>0</v>
      </c>
      <c r="O309" t="str">
        <f t="shared" si="13"/>
        <v>A</v>
      </c>
      <c r="P309" t="str">
        <f t="shared" si="14"/>
        <v>G</v>
      </c>
      <c r="Q309">
        <f>IF(M309=0,0,VLOOKUP(M309,'aa codes'!$A$1:'aa codes'!$B$21,2))</f>
        <v>0</v>
      </c>
      <c r="R309">
        <f>IF(N309=0,0,VLOOKUP(N309,'aa codes'!$A$1:'aa codes'!$B$21,2))</f>
        <v>0</v>
      </c>
      <c r="S309" s="1">
        <v>0</v>
      </c>
      <c r="T309" s="1">
        <v>0.51296830000000004</v>
      </c>
    </row>
    <row r="310" spans="1:20">
      <c r="A310">
        <v>9</v>
      </c>
      <c r="B310">
        <v>135799293</v>
      </c>
      <c r="C310" t="str">
        <f t="shared" si="12"/>
        <v>9:135799293</v>
      </c>
      <c r="D310">
        <v>2</v>
      </c>
      <c r="E310" s="1">
        <v>5.7251908399999999E-3</v>
      </c>
      <c r="F310">
        <v>1</v>
      </c>
      <c r="G310">
        <v>2</v>
      </c>
      <c r="H310" s="4">
        <v>0</v>
      </c>
      <c r="I310">
        <v>6</v>
      </c>
      <c r="J310">
        <v>-414</v>
      </c>
      <c r="K310">
        <v>0</v>
      </c>
      <c r="L310">
        <v>0</v>
      </c>
      <c r="M310">
        <v>0</v>
      </c>
      <c r="N310">
        <v>0</v>
      </c>
      <c r="O310" t="str">
        <f t="shared" si="13"/>
        <v>G</v>
      </c>
      <c r="P310" t="str">
        <f t="shared" si="14"/>
        <v>A</v>
      </c>
      <c r="Q310">
        <f>IF(M310=0,0,VLOOKUP(M310,'aa codes'!$A$1:'aa codes'!$B$21,2))</f>
        <v>0</v>
      </c>
      <c r="R310">
        <f>IF(N310=0,0,VLOOKUP(N310,'aa codes'!$A$1:'aa codes'!$B$21,2))</f>
        <v>0</v>
      </c>
      <c r="S310" s="1">
        <v>5.0314465399999998E-3</v>
      </c>
      <c r="T310" s="1">
        <v>5.7251908399999999E-3</v>
      </c>
    </row>
    <row r="311" spans="1:20">
      <c r="A311">
        <v>9</v>
      </c>
      <c r="B311">
        <v>135799297</v>
      </c>
      <c r="C311" t="str">
        <f t="shared" si="12"/>
        <v>9:135799297</v>
      </c>
      <c r="D311">
        <v>1</v>
      </c>
      <c r="E311" s="1">
        <v>5.9311981E-3</v>
      </c>
      <c r="F311">
        <v>4</v>
      </c>
      <c r="G311">
        <v>2</v>
      </c>
      <c r="H311" s="4">
        <v>0</v>
      </c>
      <c r="I311">
        <v>6</v>
      </c>
      <c r="J311">
        <v>-418</v>
      </c>
      <c r="K311">
        <v>0</v>
      </c>
      <c r="L311">
        <v>0</v>
      </c>
      <c r="M311">
        <v>0</v>
      </c>
      <c r="N311">
        <v>0</v>
      </c>
      <c r="O311" t="str">
        <f t="shared" si="13"/>
        <v>A</v>
      </c>
      <c r="P311" t="str">
        <f t="shared" si="14"/>
        <v>T</v>
      </c>
      <c r="Q311">
        <f>IF(M311=0,0,VLOOKUP(M311,'aa codes'!$A$1:'aa codes'!$B$21,2))</f>
        <v>0</v>
      </c>
      <c r="R311">
        <f>IF(N311=0,0,VLOOKUP(N311,'aa codes'!$A$1:'aa codes'!$B$21,2))</f>
        <v>0</v>
      </c>
      <c r="S311" s="1">
        <v>5.9311981E-3</v>
      </c>
      <c r="T311" s="1">
        <v>5.3571428599999997E-3</v>
      </c>
    </row>
    <row r="312" spans="1:20">
      <c r="A312">
        <v>9</v>
      </c>
      <c r="B312">
        <v>135799298</v>
      </c>
      <c r="C312" t="str">
        <f t="shared" si="12"/>
        <v>9:135799298</v>
      </c>
      <c r="D312">
        <v>4</v>
      </c>
      <c r="E312" s="1">
        <v>5.5045871600000002E-3</v>
      </c>
      <c r="F312">
        <v>1</v>
      </c>
      <c r="G312">
        <v>1</v>
      </c>
      <c r="H312" s="4">
        <v>0</v>
      </c>
      <c r="I312">
        <v>6</v>
      </c>
      <c r="J312">
        <v>-419</v>
      </c>
      <c r="K312">
        <v>0</v>
      </c>
      <c r="L312">
        <v>0</v>
      </c>
      <c r="M312">
        <v>0</v>
      </c>
      <c r="N312">
        <v>0</v>
      </c>
      <c r="O312" t="str">
        <f t="shared" si="13"/>
        <v>T</v>
      </c>
      <c r="P312" t="str">
        <f t="shared" si="14"/>
        <v>A</v>
      </c>
      <c r="Q312">
        <f>IF(M312=0,0,VLOOKUP(M312,'aa codes'!$A$1:'aa codes'!$B$21,2))</f>
        <v>0</v>
      </c>
      <c r="R312">
        <f>IF(N312=0,0,VLOOKUP(N312,'aa codes'!$A$1:'aa codes'!$B$21,2))</f>
        <v>0</v>
      </c>
      <c r="S312" s="1">
        <v>3.7128712900000001E-3</v>
      </c>
      <c r="T312" s="1">
        <v>5.5045871600000002E-3</v>
      </c>
    </row>
    <row r="313" spans="1:20">
      <c r="A313">
        <v>9</v>
      </c>
      <c r="B313">
        <v>135799299</v>
      </c>
      <c r="C313" t="str">
        <f t="shared" si="12"/>
        <v>9:135799299</v>
      </c>
      <c r="D313">
        <v>4</v>
      </c>
      <c r="E313" s="1">
        <v>1.10732538E-2</v>
      </c>
      <c r="F313">
        <v>1</v>
      </c>
      <c r="G313">
        <v>2</v>
      </c>
      <c r="H313" s="4">
        <v>0</v>
      </c>
      <c r="I313">
        <v>6</v>
      </c>
      <c r="J313">
        <v>-420</v>
      </c>
      <c r="K313">
        <v>0</v>
      </c>
      <c r="L313">
        <v>0</v>
      </c>
      <c r="M313">
        <v>0</v>
      </c>
      <c r="N313">
        <v>0</v>
      </c>
      <c r="O313" t="str">
        <f t="shared" si="13"/>
        <v>T</v>
      </c>
      <c r="P313" t="str">
        <f t="shared" si="14"/>
        <v>A</v>
      </c>
      <c r="Q313">
        <f>IF(M313=0,0,VLOOKUP(M313,'aa codes'!$A$1:'aa codes'!$B$21,2))</f>
        <v>0</v>
      </c>
      <c r="R313">
        <f>IF(N313=0,0,VLOOKUP(N313,'aa codes'!$A$1:'aa codes'!$B$21,2))</f>
        <v>0</v>
      </c>
      <c r="S313" s="1">
        <v>1.10732538E-2</v>
      </c>
      <c r="T313" s="1">
        <v>1.0230179000000001E-2</v>
      </c>
    </row>
    <row r="314" spans="1:20">
      <c r="A314">
        <v>9</v>
      </c>
      <c r="B314">
        <v>135799300</v>
      </c>
      <c r="C314" t="str">
        <f t="shared" si="12"/>
        <v>9:135799300</v>
      </c>
      <c r="D314">
        <v>1</v>
      </c>
      <c r="E314" s="1">
        <v>7.4906367E-3</v>
      </c>
      <c r="F314">
        <v>4</v>
      </c>
      <c r="G314">
        <v>2</v>
      </c>
      <c r="H314" s="4">
        <v>0</v>
      </c>
      <c r="I314">
        <v>6</v>
      </c>
      <c r="J314">
        <v>-421</v>
      </c>
      <c r="K314">
        <v>0</v>
      </c>
      <c r="L314">
        <v>0</v>
      </c>
      <c r="M314">
        <v>0</v>
      </c>
      <c r="N314">
        <v>0</v>
      </c>
      <c r="O314" t="str">
        <f t="shared" si="13"/>
        <v>A</v>
      </c>
      <c r="P314" t="str">
        <f t="shared" si="14"/>
        <v>T</v>
      </c>
      <c r="Q314">
        <f>IF(M314=0,0,VLOOKUP(M314,'aa codes'!$A$1:'aa codes'!$B$21,2))</f>
        <v>0</v>
      </c>
      <c r="R314">
        <f>IF(N314=0,0,VLOOKUP(N314,'aa codes'!$A$1:'aa codes'!$B$21,2))</f>
        <v>0</v>
      </c>
      <c r="S314" s="1">
        <v>5.1880674400000002E-3</v>
      </c>
      <c r="T314" s="1">
        <v>7.4906367E-3</v>
      </c>
    </row>
    <row r="315" spans="1:20">
      <c r="A315">
        <v>9</v>
      </c>
      <c r="B315">
        <v>135799314</v>
      </c>
      <c r="C315" t="str">
        <f t="shared" si="12"/>
        <v>9:135799314</v>
      </c>
      <c r="D315">
        <v>3</v>
      </c>
      <c r="E315" s="1">
        <v>9.4339622599999996E-3</v>
      </c>
      <c r="F315">
        <v>1</v>
      </c>
      <c r="G315">
        <v>1</v>
      </c>
      <c r="H315" s="4">
        <v>0</v>
      </c>
      <c r="I315">
        <v>6</v>
      </c>
      <c r="J315">
        <v>-435</v>
      </c>
      <c r="K315">
        <v>0</v>
      </c>
      <c r="L315">
        <v>0</v>
      </c>
      <c r="M315">
        <v>0</v>
      </c>
      <c r="N315">
        <v>0</v>
      </c>
      <c r="O315" t="str">
        <f t="shared" si="13"/>
        <v>C</v>
      </c>
      <c r="P315" t="str">
        <f t="shared" si="14"/>
        <v>A</v>
      </c>
      <c r="Q315">
        <f>IF(M315=0,0,VLOOKUP(M315,'aa codes'!$A$1:'aa codes'!$B$21,2))</f>
        <v>0</v>
      </c>
      <c r="R315">
        <f>IF(N315=0,0,VLOOKUP(N315,'aa codes'!$A$1:'aa codes'!$B$21,2))</f>
        <v>0</v>
      </c>
      <c r="S315" s="1">
        <v>9.4339622599999996E-3</v>
      </c>
      <c r="T315" s="1">
        <v>2.0120724300000002E-3</v>
      </c>
    </row>
    <row r="316" spans="1:20">
      <c r="A316">
        <v>9</v>
      </c>
      <c r="B316">
        <v>135799917</v>
      </c>
      <c r="C316" t="str">
        <f t="shared" si="12"/>
        <v>9:135799917</v>
      </c>
      <c r="D316">
        <v>2</v>
      </c>
      <c r="E316" s="1">
        <v>0.50108459900000002</v>
      </c>
      <c r="F316">
        <v>4</v>
      </c>
      <c r="G316">
        <v>2</v>
      </c>
      <c r="H316" s="4">
        <v>0.69310000000000005</v>
      </c>
      <c r="I316">
        <v>6</v>
      </c>
      <c r="J316">
        <v>-1038</v>
      </c>
      <c r="K316">
        <v>0</v>
      </c>
      <c r="L316">
        <v>0</v>
      </c>
      <c r="M316">
        <v>0</v>
      </c>
      <c r="N316">
        <v>0</v>
      </c>
      <c r="O316" t="str">
        <f t="shared" si="13"/>
        <v>G</v>
      </c>
      <c r="P316" t="str">
        <f t="shared" si="14"/>
        <v>T</v>
      </c>
      <c r="Q316">
        <f>IF(M316=0,0,VLOOKUP(M316,'aa codes'!$A$1:'aa codes'!$B$21,2))</f>
        <v>0</v>
      </c>
      <c r="R316">
        <f>IF(N316=0,0,VLOOKUP(N316,'aa codes'!$A$1:'aa codes'!$B$21,2))</f>
        <v>0</v>
      </c>
      <c r="S316" s="1">
        <v>0.50108459900000002</v>
      </c>
      <c r="T316" s="1">
        <v>0.49172185400000001</v>
      </c>
    </row>
    <row r="317" spans="1:20">
      <c r="A317">
        <v>9</v>
      </c>
      <c r="B317">
        <v>135802083</v>
      </c>
      <c r="C317" t="str">
        <f t="shared" si="12"/>
        <v>9:135802083</v>
      </c>
      <c r="D317">
        <v>4</v>
      </c>
      <c r="E317" s="1">
        <v>9.6618357500000002E-3</v>
      </c>
      <c r="F317">
        <v>2</v>
      </c>
      <c r="G317">
        <v>1</v>
      </c>
      <c r="H317" s="4">
        <v>0</v>
      </c>
      <c r="I317">
        <v>4</v>
      </c>
      <c r="J317">
        <v>505</v>
      </c>
      <c r="K317">
        <v>0</v>
      </c>
      <c r="L317">
        <v>0</v>
      </c>
      <c r="M317">
        <v>0</v>
      </c>
      <c r="N317">
        <v>0</v>
      </c>
      <c r="O317" t="str">
        <f t="shared" si="13"/>
        <v>T</v>
      </c>
      <c r="P317" t="str">
        <f t="shared" si="14"/>
        <v>G</v>
      </c>
      <c r="Q317">
        <f>IF(M317=0,0,VLOOKUP(M317,'aa codes'!$A$1:'aa codes'!$B$21,2))</f>
        <v>0</v>
      </c>
      <c r="R317">
        <f>IF(N317=0,0,VLOOKUP(N317,'aa codes'!$A$1:'aa codes'!$B$21,2))</f>
        <v>0</v>
      </c>
      <c r="S317" s="1">
        <v>9.6618357500000002E-3</v>
      </c>
      <c r="T317" s="1">
        <v>4.4742729300000002E-3</v>
      </c>
    </row>
    <row r="318" spans="1:20">
      <c r="A318">
        <v>9</v>
      </c>
      <c r="B318">
        <v>135802085</v>
      </c>
      <c r="C318" t="str">
        <f t="shared" si="12"/>
        <v>9:135802085</v>
      </c>
      <c r="D318">
        <v>2</v>
      </c>
      <c r="E318" s="1">
        <v>6.9124423999999997E-3</v>
      </c>
      <c r="F318">
        <v>4</v>
      </c>
      <c r="G318">
        <v>1</v>
      </c>
      <c r="H318" s="4">
        <v>0</v>
      </c>
      <c r="I318">
        <v>4</v>
      </c>
      <c r="J318">
        <v>503</v>
      </c>
      <c r="K318">
        <v>0</v>
      </c>
      <c r="L318">
        <v>0</v>
      </c>
      <c r="M318">
        <v>0</v>
      </c>
      <c r="N318">
        <v>0</v>
      </c>
      <c r="O318" t="str">
        <f t="shared" si="13"/>
        <v>G</v>
      </c>
      <c r="P318" t="str">
        <f t="shared" si="14"/>
        <v>T</v>
      </c>
      <c r="Q318">
        <f>IF(M318=0,0,VLOOKUP(M318,'aa codes'!$A$1:'aa codes'!$B$21,2))</f>
        <v>0</v>
      </c>
      <c r="R318">
        <f>IF(N318=0,0,VLOOKUP(N318,'aa codes'!$A$1:'aa codes'!$B$21,2))</f>
        <v>0</v>
      </c>
      <c r="S318" s="1">
        <v>1.6835016799999999E-3</v>
      </c>
      <c r="T318" s="1">
        <v>6.9124423999999997E-3</v>
      </c>
    </row>
    <row r="319" spans="1:20">
      <c r="A319">
        <v>9</v>
      </c>
      <c r="B319">
        <v>135802086</v>
      </c>
      <c r="C319" t="str">
        <f t="shared" si="12"/>
        <v>9:135802086</v>
      </c>
      <c r="D319">
        <v>1</v>
      </c>
      <c r="E319" s="1">
        <v>7.0257611199999997E-3</v>
      </c>
      <c r="F319">
        <v>4</v>
      </c>
      <c r="G319">
        <v>2</v>
      </c>
      <c r="H319" s="4">
        <v>0</v>
      </c>
      <c r="I319">
        <v>4</v>
      </c>
      <c r="J319">
        <v>502</v>
      </c>
      <c r="K319">
        <v>0</v>
      </c>
      <c r="L319">
        <v>0</v>
      </c>
      <c r="M319">
        <v>0</v>
      </c>
      <c r="N319">
        <v>0</v>
      </c>
      <c r="O319" t="str">
        <f t="shared" si="13"/>
        <v>A</v>
      </c>
      <c r="P319" t="str">
        <f t="shared" si="14"/>
        <v>T</v>
      </c>
      <c r="Q319">
        <f>IF(M319=0,0,VLOOKUP(M319,'aa codes'!$A$1:'aa codes'!$B$21,2))</f>
        <v>0</v>
      </c>
      <c r="R319">
        <f>IF(N319=0,0,VLOOKUP(N319,'aa codes'!$A$1:'aa codes'!$B$21,2))</f>
        <v>0</v>
      </c>
      <c r="S319" s="1">
        <v>5.0847457600000003E-3</v>
      </c>
      <c r="T319" s="1">
        <v>7.0257611199999997E-3</v>
      </c>
    </row>
    <row r="320" spans="1:20">
      <c r="A320">
        <v>9</v>
      </c>
      <c r="B320">
        <v>135802163</v>
      </c>
      <c r="C320" t="str">
        <f t="shared" si="12"/>
        <v>9:135802163</v>
      </c>
      <c r="D320">
        <v>2</v>
      </c>
      <c r="E320" s="1">
        <v>5.0505050500000001E-3</v>
      </c>
      <c r="F320">
        <v>1</v>
      </c>
      <c r="G320">
        <v>1</v>
      </c>
      <c r="H320" s="4">
        <v>0</v>
      </c>
      <c r="I320">
        <v>4</v>
      </c>
      <c r="J320">
        <v>425</v>
      </c>
      <c r="K320">
        <v>0</v>
      </c>
      <c r="L320">
        <v>0</v>
      </c>
      <c r="M320">
        <v>0</v>
      </c>
      <c r="N320">
        <v>0</v>
      </c>
      <c r="O320" t="str">
        <f t="shared" si="13"/>
        <v>G</v>
      </c>
      <c r="P320" t="str">
        <f t="shared" si="14"/>
        <v>A</v>
      </c>
      <c r="Q320">
        <f>IF(M320=0,0,VLOOKUP(M320,'aa codes'!$A$1:'aa codes'!$B$21,2))</f>
        <v>0</v>
      </c>
      <c r="R320">
        <f>IF(N320=0,0,VLOOKUP(N320,'aa codes'!$A$1:'aa codes'!$B$21,2))</f>
        <v>0</v>
      </c>
      <c r="S320" s="1">
        <v>0</v>
      </c>
      <c r="T320" s="1">
        <v>5.0505050500000001E-3</v>
      </c>
    </row>
    <row r="321" spans="1:20">
      <c r="A321">
        <v>9</v>
      </c>
      <c r="B321">
        <v>135802179</v>
      </c>
      <c r="C321" t="str">
        <f t="shared" si="12"/>
        <v>9:135802179</v>
      </c>
      <c r="D321">
        <v>1</v>
      </c>
      <c r="E321" s="1">
        <v>5.6818181800000001E-3</v>
      </c>
      <c r="F321">
        <v>2</v>
      </c>
      <c r="G321">
        <v>1</v>
      </c>
      <c r="H321" s="4">
        <v>0</v>
      </c>
      <c r="I321">
        <v>4</v>
      </c>
      <c r="J321">
        <v>409</v>
      </c>
      <c r="K321">
        <v>0</v>
      </c>
      <c r="L321">
        <v>0</v>
      </c>
      <c r="M321">
        <v>0</v>
      </c>
      <c r="N321">
        <v>0</v>
      </c>
      <c r="O321" t="str">
        <f t="shared" si="13"/>
        <v>A</v>
      </c>
      <c r="P321" t="str">
        <f t="shared" si="14"/>
        <v>G</v>
      </c>
      <c r="Q321">
        <f>IF(M321=0,0,VLOOKUP(M321,'aa codes'!$A$1:'aa codes'!$B$21,2))</f>
        <v>0</v>
      </c>
      <c r="R321">
        <f>IF(N321=0,0,VLOOKUP(N321,'aa codes'!$A$1:'aa codes'!$B$21,2))</f>
        <v>0</v>
      </c>
      <c r="S321" s="1">
        <v>2.5125628100000001E-3</v>
      </c>
      <c r="T321" s="1">
        <v>5.6818181800000001E-3</v>
      </c>
    </row>
    <row r="322" spans="1:20">
      <c r="A322">
        <v>9</v>
      </c>
      <c r="B322">
        <v>135802182</v>
      </c>
      <c r="C322" t="str">
        <f t="shared" si="12"/>
        <v>9:135802182</v>
      </c>
      <c r="D322">
        <v>4</v>
      </c>
      <c r="E322" s="1">
        <v>5.7803468199999998E-3</v>
      </c>
      <c r="F322">
        <v>3</v>
      </c>
      <c r="G322">
        <v>1</v>
      </c>
      <c r="H322" s="4">
        <v>0</v>
      </c>
      <c r="I322">
        <v>4</v>
      </c>
      <c r="J322">
        <v>406</v>
      </c>
      <c r="K322">
        <v>0</v>
      </c>
      <c r="L322">
        <v>0</v>
      </c>
      <c r="M322">
        <v>0</v>
      </c>
      <c r="N322">
        <v>0</v>
      </c>
      <c r="O322" t="str">
        <f t="shared" si="13"/>
        <v>T</v>
      </c>
      <c r="P322" t="str">
        <f t="shared" si="14"/>
        <v>C</v>
      </c>
      <c r="Q322">
        <f>IF(M322=0,0,VLOOKUP(M322,'aa codes'!$A$1:'aa codes'!$B$21,2))</f>
        <v>0</v>
      </c>
      <c r="R322">
        <f>IF(N322=0,0,VLOOKUP(N322,'aa codes'!$A$1:'aa codes'!$B$21,2))</f>
        <v>0</v>
      </c>
      <c r="S322" s="1">
        <v>0</v>
      </c>
      <c r="T322" s="1">
        <v>5.7803468199999998E-3</v>
      </c>
    </row>
    <row r="323" spans="1:20">
      <c r="A323">
        <v>9</v>
      </c>
      <c r="B323">
        <v>135802186</v>
      </c>
      <c r="C323" t="str">
        <f t="shared" ref="C323:C386" si="15">A323&amp;":"&amp;B323</f>
        <v>9:135802186</v>
      </c>
      <c r="D323">
        <v>4</v>
      </c>
      <c r="E323" s="1">
        <v>0.5</v>
      </c>
      <c r="F323">
        <v>3</v>
      </c>
      <c r="G323">
        <v>1</v>
      </c>
      <c r="H323" s="4">
        <v>2.9090000000000002E-4</v>
      </c>
      <c r="I323">
        <v>4</v>
      </c>
      <c r="J323">
        <v>402</v>
      </c>
      <c r="K323">
        <v>0</v>
      </c>
      <c r="L323">
        <v>0</v>
      </c>
      <c r="M323">
        <v>0</v>
      </c>
      <c r="N323">
        <v>0</v>
      </c>
      <c r="O323" t="str">
        <f t="shared" ref="O323:O386" si="16">IF(D323=1,"A",IF(D323=2,"G",IF(D323=3,"C",IF(D323=4,"T","2NT"))))</f>
        <v>T</v>
      </c>
      <c r="P323" t="str">
        <f t="shared" ref="P323:P386" si="17">IF(F323=1,"A",IF(F323=2,"G",IF(F323=3,"C",IF(F323=4,"T","2NT"))))</f>
        <v>C</v>
      </c>
      <c r="Q323">
        <f>IF(M323=0,0,VLOOKUP(M323,'aa codes'!$A$1:'aa codes'!$B$21,2))</f>
        <v>0</v>
      </c>
      <c r="R323">
        <f>IF(N323=0,0,VLOOKUP(N323,'aa codes'!$A$1:'aa codes'!$B$21,2))</f>
        <v>0</v>
      </c>
      <c r="S323" s="1">
        <v>0</v>
      </c>
      <c r="T323" s="1">
        <v>0.5</v>
      </c>
    </row>
    <row r="324" spans="1:20">
      <c r="A324">
        <v>9</v>
      </c>
      <c r="B324">
        <v>135802219</v>
      </c>
      <c r="C324" t="str">
        <f t="shared" si="15"/>
        <v>9:135802219</v>
      </c>
      <c r="D324">
        <v>2</v>
      </c>
      <c r="E324" s="1">
        <v>5.50964187E-3</v>
      </c>
      <c r="F324">
        <v>1</v>
      </c>
      <c r="G324">
        <v>1</v>
      </c>
      <c r="H324" s="4">
        <v>0</v>
      </c>
      <c r="I324">
        <v>4</v>
      </c>
      <c r="J324">
        <v>369</v>
      </c>
      <c r="K324">
        <v>0</v>
      </c>
      <c r="L324">
        <v>0</v>
      </c>
      <c r="M324">
        <v>0</v>
      </c>
      <c r="N324">
        <v>0</v>
      </c>
      <c r="O324" t="str">
        <f t="shared" si="16"/>
        <v>G</v>
      </c>
      <c r="P324" t="str">
        <f t="shared" si="17"/>
        <v>A</v>
      </c>
      <c r="Q324">
        <f>IF(M324=0,0,VLOOKUP(M324,'aa codes'!$A$1:'aa codes'!$B$21,2))</f>
        <v>0</v>
      </c>
      <c r="R324">
        <f>IF(N324=0,0,VLOOKUP(N324,'aa codes'!$A$1:'aa codes'!$B$21,2))</f>
        <v>0</v>
      </c>
      <c r="S324" s="1">
        <v>5.50964187E-3</v>
      </c>
      <c r="T324" s="1">
        <v>0</v>
      </c>
    </row>
    <row r="325" spans="1:20">
      <c r="A325">
        <v>9</v>
      </c>
      <c r="B325">
        <v>135802237</v>
      </c>
      <c r="C325" t="str">
        <f t="shared" si="15"/>
        <v>9:135802237</v>
      </c>
      <c r="D325">
        <v>1</v>
      </c>
      <c r="E325" s="1">
        <v>5.26315789E-3</v>
      </c>
      <c r="F325">
        <v>4</v>
      </c>
      <c r="G325">
        <v>1</v>
      </c>
      <c r="H325" s="4">
        <v>0</v>
      </c>
      <c r="I325">
        <v>4</v>
      </c>
      <c r="J325">
        <v>351</v>
      </c>
      <c r="K325">
        <v>0</v>
      </c>
      <c r="L325">
        <v>0</v>
      </c>
      <c r="M325">
        <v>0</v>
      </c>
      <c r="N325">
        <v>0</v>
      </c>
      <c r="O325" t="str">
        <f t="shared" si="16"/>
        <v>A</v>
      </c>
      <c r="P325" t="str">
        <f t="shared" si="17"/>
        <v>T</v>
      </c>
      <c r="Q325">
        <f>IF(M325=0,0,VLOOKUP(M325,'aa codes'!$A$1:'aa codes'!$B$21,2))</f>
        <v>0</v>
      </c>
      <c r="R325">
        <f>IF(N325=0,0,VLOOKUP(N325,'aa codes'!$A$1:'aa codes'!$B$21,2))</f>
        <v>0</v>
      </c>
      <c r="S325" s="1">
        <v>4.7961630699999997E-3</v>
      </c>
      <c r="T325" s="1">
        <v>5.26315789E-3</v>
      </c>
    </row>
    <row r="326" spans="1:20">
      <c r="A326">
        <v>9</v>
      </c>
      <c r="B326">
        <v>135802238</v>
      </c>
      <c r="C326" t="str">
        <f t="shared" si="15"/>
        <v>9:135802238</v>
      </c>
      <c r="D326">
        <v>4</v>
      </c>
      <c r="E326" s="1">
        <v>5.2356020900000003E-3</v>
      </c>
      <c r="F326">
        <v>1</v>
      </c>
      <c r="G326">
        <v>1</v>
      </c>
      <c r="H326" s="4">
        <v>0</v>
      </c>
      <c r="I326">
        <v>4</v>
      </c>
      <c r="J326">
        <v>350</v>
      </c>
      <c r="K326">
        <v>0</v>
      </c>
      <c r="L326">
        <v>0</v>
      </c>
      <c r="M326">
        <v>0</v>
      </c>
      <c r="N326">
        <v>0</v>
      </c>
      <c r="O326" t="str">
        <f t="shared" si="16"/>
        <v>T</v>
      </c>
      <c r="P326" t="str">
        <f t="shared" si="17"/>
        <v>A</v>
      </c>
      <c r="Q326">
        <f>IF(M326=0,0,VLOOKUP(M326,'aa codes'!$A$1:'aa codes'!$B$21,2))</f>
        <v>0</v>
      </c>
      <c r="R326">
        <f>IF(N326=0,0,VLOOKUP(N326,'aa codes'!$A$1:'aa codes'!$B$21,2))</f>
        <v>0</v>
      </c>
      <c r="S326" s="1">
        <v>2.4271844700000001E-3</v>
      </c>
      <c r="T326" s="1">
        <v>5.2356020900000003E-3</v>
      </c>
    </row>
    <row r="327" spans="1:20">
      <c r="A327">
        <v>9</v>
      </c>
      <c r="B327">
        <v>135802298</v>
      </c>
      <c r="C327" t="str">
        <f t="shared" si="15"/>
        <v>9:135802298</v>
      </c>
      <c r="D327">
        <v>1</v>
      </c>
      <c r="E327" s="1">
        <v>0.49087591200000003</v>
      </c>
      <c r="F327">
        <v>2</v>
      </c>
      <c r="G327">
        <v>2</v>
      </c>
      <c r="H327" s="4">
        <v>0.41120000000000001</v>
      </c>
      <c r="I327">
        <v>4</v>
      </c>
      <c r="J327">
        <v>290</v>
      </c>
      <c r="K327">
        <v>0</v>
      </c>
      <c r="L327">
        <v>0</v>
      </c>
      <c r="M327">
        <v>0</v>
      </c>
      <c r="N327">
        <v>0</v>
      </c>
      <c r="O327" t="str">
        <f t="shared" si="16"/>
        <v>A</v>
      </c>
      <c r="P327" t="str">
        <f t="shared" si="17"/>
        <v>G</v>
      </c>
      <c r="Q327">
        <f>IF(M327=0,0,VLOOKUP(M327,'aa codes'!$A$1:'aa codes'!$B$21,2))</f>
        <v>0</v>
      </c>
      <c r="R327">
        <f>IF(N327=0,0,VLOOKUP(N327,'aa codes'!$A$1:'aa codes'!$B$21,2))</f>
        <v>0</v>
      </c>
      <c r="S327" s="1">
        <v>0.49087591200000003</v>
      </c>
      <c r="T327" s="1">
        <v>0.48844884500000002</v>
      </c>
    </row>
    <row r="328" spans="1:20">
      <c r="A328">
        <v>9</v>
      </c>
      <c r="B328">
        <v>135802555</v>
      </c>
      <c r="C328" t="str">
        <f t="shared" si="15"/>
        <v>9:135802555</v>
      </c>
      <c r="D328">
        <v>3</v>
      </c>
      <c r="E328" s="1">
        <v>0.48837209300000001</v>
      </c>
      <c r="F328">
        <v>4</v>
      </c>
      <c r="G328">
        <v>1</v>
      </c>
      <c r="H328" s="4">
        <v>9.1430000000000001E-3</v>
      </c>
      <c r="I328">
        <v>4</v>
      </c>
      <c r="J328">
        <v>33</v>
      </c>
      <c r="K328">
        <v>0</v>
      </c>
      <c r="L328">
        <v>0</v>
      </c>
      <c r="M328">
        <v>0</v>
      </c>
      <c r="N328">
        <v>0</v>
      </c>
      <c r="O328" t="str">
        <f t="shared" si="16"/>
        <v>C</v>
      </c>
      <c r="P328" t="str">
        <f t="shared" si="17"/>
        <v>T</v>
      </c>
      <c r="Q328">
        <f>IF(M328=0,0,VLOOKUP(M328,'aa codes'!$A$1:'aa codes'!$B$21,2))</f>
        <v>0</v>
      </c>
      <c r="R328">
        <f>IF(N328=0,0,VLOOKUP(N328,'aa codes'!$A$1:'aa codes'!$B$21,2))</f>
        <v>0</v>
      </c>
      <c r="S328" s="1">
        <v>0</v>
      </c>
      <c r="T328" s="1">
        <v>0.48837209300000001</v>
      </c>
    </row>
    <row r="329" spans="1:20">
      <c r="A329">
        <v>9</v>
      </c>
      <c r="B329">
        <v>135802863</v>
      </c>
      <c r="C329" t="str">
        <f t="shared" si="15"/>
        <v>9:135802863</v>
      </c>
      <c r="D329">
        <v>1</v>
      </c>
      <c r="E329" s="1">
        <v>6.0514372199999998E-3</v>
      </c>
      <c r="F329">
        <v>4</v>
      </c>
      <c r="G329">
        <v>1</v>
      </c>
      <c r="H329" s="4">
        <v>0</v>
      </c>
      <c r="I329">
        <v>4</v>
      </c>
      <c r="J329">
        <v>-172</v>
      </c>
      <c r="K329">
        <v>0</v>
      </c>
      <c r="L329">
        <v>0</v>
      </c>
      <c r="M329">
        <v>0</v>
      </c>
      <c r="N329">
        <v>0</v>
      </c>
      <c r="O329" t="str">
        <f t="shared" si="16"/>
        <v>A</v>
      </c>
      <c r="P329" t="str">
        <f t="shared" si="17"/>
        <v>T</v>
      </c>
      <c r="Q329">
        <f>IF(M329=0,0,VLOOKUP(M329,'aa codes'!$A$1:'aa codes'!$B$21,2))</f>
        <v>0</v>
      </c>
      <c r="R329">
        <f>IF(N329=0,0,VLOOKUP(N329,'aa codes'!$A$1:'aa codes'!$B$21,2))</f>
        <v>0</v>
      </c>
      <c r="S329" s="1">
        <v>6.0514372199999998E-3</v>
      </c>
      <c r="T329" s="1">
        <v>0</v>
      </c>
    </row>
    <row r="330" spans="1:20">
      <c r="A330">
        <v>9</v>
      </c>
      <c r="B330">
        <v>135802867</v>
      </c>
      <c r="C330" t="str">
        <f t="shared" si="15"/>
        <v>9:135802867</v>
      </c>
      <c r="D330">
        <v>2</v>
      </c>
      <c r="E330" s="1">
        <v>9.4043887099999994E-3</v>
      </c>
      <c r="F330">
        <v>4</v>
      </c>
      <c r="G330">
        <v>1</v>
      </c>
      <c r="H330" s="4">
        <v>0</v>
      </c>
      <c r="I330">
        <v>4</v>
      </c>
      <c r="J330">
        <v>-176</v>
      </c>
      <c r="K330">
        <v>0</v>
      </c>
      <c r="L330">
        <v>0</v>
      </c>
      <c r="M330">
        <v>0</v>
      </c>
      <c r="N330">
        <v>0</v>
      </c>
      <c r="O330" t="str">
        <f t="shared" si="16"/>
        <v>G</v>
      </c>
      <c r="P330" t="str">
        <f t="shared" si="17"/>
        <v>T</v>
      </c>
      <c r="Q330">
        <f>IF(M330=0,0,VLOOKUP(M330,'aa codes'!$A$1:'aa codes'!$B$21,2))</f>
        <v>0</v>
      </c>
      <c r="R330">
        <f>IF(N330=0,0,VLOOKUP(N330,'aa codes'!$A$1:'aa codes'!$B$21,2))</f>
        <v>0</v>
      </c>
      <c r="S330" s="1">
        <v>9.4043887099999994E-3</v>
      </c>
      <c r="T330" s="1">
        <v>2.7855153200000001E-3</v>
      </c>
    </row>
    <row r="331" spans="1:20">
      <c r="A331">
        <v>9</v>
      </c>
      <c r="B331">
        <v>135802877</v>
      </c>
      <c r="C331" t="str">
        <f t="shared" si="15"/>
        <v>9:135802877</v>
      </c>
      <c r="D331">
        <v>2</v>
      </c>
      <c r="E331" s="1">
        <v>6.8846815800000004E-3</v>
      </c>
      <c r="F331">
        <v>4</v>
      </c>
      <c r="G331">
        <v>1</v>
      </c>
      <c r="H331" s="4">
        <v>0</v>
      </c>
      <c r="I331">
        <v>4</v>
      </c>
      <c r="J331">
        <v>-186</v>
      </c>
      <c r="K331">
        <v>0</v>
      </c>
      <c r="L331">
        <v>0</v>
      </c>
      <c r="M331">
        <v>0</v>
      </c>
      <c r="N331">
        <v>0</v>
      </c>
      <c r="O331" t="str">
        <f t="shared" si="16"/>
        <v>G</v>
      </c>
      <c r="P331" t="str">
        <f t="shared" si="17"/>
        <v>T</v>
      </c>
      <c r="Q331">
        <f>IF(M331=0,0,VLOOKUP(M331,'aa codes'!$A$1:'aa codes'!$B$21,2))</f>
        <v>0</v>
      </c>
      <c r="R331">
        <f>IF(N331=0,0,VLOOKUP(N331,'aa codes'!$A$1:'aa codes'!$B$21,2))</f>
        <v>0</v>
      </c>
      <c r="S331" s="1">
        <v>6.8846815800000004E-3</v>
      </c>
      <c r="T331" s="1">
        <v>3.2573289899999998E-3</v>
      </c>
    </row>
    <row r="332" spans="1:20">
      <c r="A332">
        <v>9</v>
      </c>
      <c r="B332">
        <v>135802878</v>
      </c>
      <c r="C332" t="str">
        <f t="shared" si="15"/>
        <v>9:135802878</v>
      </c>
      <c r="D332">
        <v>3</v>
      </c>
      <c r="E332" s="1">
        <v>6.4935064900000002E-3</v>
      </c>
      <c r="F332">
        <v>1</v>
      </c>
      <c r="G332">
        <v>1</v>
      </c>
      <c r="H332" s="4">
        <v>0</v>
      </c>
      <c r="I332">
        <v>4</v>
      </c>
      <c r="J332">
        <v>-187</v>
      </c>
      <c r="K332">
        <v>0</v>
      </c>
      <c r="L332">
        <v>0</v>
      </c>
      <c r="M332">
        <v>0</v>
      </c>
      <c r="N332">
        <v>0</v>
      </c>
      <c r="O332" t="str">
        <f t="shared" si="16"/>
        <v>C</v>
      </c>
      <c r="P332" t="str">
        <f t="shared" si="17"/>
        <v>A</v>
      </c>
      <c r="Q332">
        <f>IF(M332=0,0,VLOOKUP(M332,'aa codes'!$A$1:'aa codes'!$B$21,2))</f>
        <v>0</v>
      </c>
      <c r="R332">
        <f>IF(N332=0,0,VLOOKUP(N332,'aa codes'!$A$1:'aa codes'!$B$21,2))</f>
        <v>0</v>
      </c>
      <c r="S332" s="1">
        <v>3.2206119200000002E-3</v>
      </c>
      <c r="T332" s="1">
        <v>6.4935064900000002E-3</v>
      </c>
    </row>
    <row r="333" spans="1:20">
      <c r="A333">
        <v>9</v>
      </c>
      <c r="B333">
        <v>135802891</v>
      </c>
      <c r="C333" t="str">
        <f t="shared" si="15"/>
        <v>9:135802891</v>
      </c>
      <c r="D333">
        <v>2</v>
      </c>
      <c r="E333" s="1">
        <v>5.4347826100000001E-3</v>
      </c>
      <c r="F333">
        <v>4</v>
      </c>
      <c r="G333">
        <v>1</v>
      </c>
      <c r="H333" s="4">
        <v>0</v>
      </c>
      <c r="I333">
        <v>4</v>
      </c>
      <c r="J333">
        <v>-200</v>
      </c>
      <c r="K333">
        <v>0</v>
      </c>
      <c r="L333">
        <v>0</v>
      </c>
      <c r="M333">
        <v>0</v>
      </c>
      <c r="N333">
        <v>0</v>
      </c>
      <c r="O333" t="str">
        <f t="shared" si="16"/>
        <v>G</v>
      </c>
      <c r="P333" t="str">
        <f t="shared" si="17"/>
        <v>T</v>
      </c>
      <c r="Q333">
        <f>IF(M333=0,0,VLOOKUP(M333,'aa codes'!$A$1:'aa codes'!$B$21,2))</f>
        <v>0</v>
      </c>
      <c r="R333">
        <f>IF(N333=0,0,VLOOKUP(N333,'aa codes'!$A$1:'aa codes'!$B$21,2))</f>
        <v>0</v>
      </c>
      <c r="S333" s="1">
        <v>4.1753653399999998E-3</v>
      </c>
      <c r="T333" s="1">
        <v>5.4347826100000001E-3</v>
      </c>
    </row>
    <row r="334" spans="1:20">
      <c r="A334">
        <v>9</v>
      </c>
      <c r="B334">
        <v>135802894</v>
      </c>
      <c r="C334" t="str">
        <f t="shared" si="15"/>
        <v>9:135802894</v>
      </c>
      <c r="D334">
        <v>2</v>
      </c>
      <c r="E334" s="1">
        <v>6.4239828699999999E-3</v>
      </c>
      <c r="F334">
        <v>4</v>
      </c>
      <c r="G334">
        <v>2</v>
      </c>
      <c r="H334" s="4">
        <v>0</v>
      </c>
      <c r="I334">
        <v>4</v>
      </c>
      <c r="J334">
        <v>-203</v>
      </c>
      <c r="K334">
        <v>0</v>
      </c>
      <c r="L334">
        <v>0</v>
      </c>
      <c r="M334">
        <v>0</v>
      </c>
      <c r="N334">
        <v>0</v>
      </c>
      <c r="O334" t="str">
        <f t="shared" si="16"/>
        <v>G</v>
      </c>
      <c r="P334" t="str">
        <f t="shared" si="17"/>
        <v>T</v>
      </c>
      <c r="Q334">
        <f>IF(M334=0,0,VLOOKUP(M334,'aa codes'!$A$1:'aa codes'!$B$21,2))</f>
        <v>0</v>
      </c>
      <c r="R334">
        <f>IF(N334=0,0,VLOOKUP(N334,'aa codes'!$A$1:'aa codes'!$B$21,2))</f>
        <v>0</v>
      </c>
      <c r="S334" s="1">
        <v>6.4239828699999999E-3</v>
      </c>
      <c r="T334" s="1">
        <v>6.17283951E-3</v>
      </c>
    </row>
    <row r="335" spans="1:20">
      <c r="A335">
        <v>9</v>
      </c>
      <c r="B335">
        <v>135802895</v>
      </c>
      <c r="C335" t="str">
        <f t="shared" si="15"/>
        <v>9:135802895</v>
      </c>
      <c r="D335">
        <v>4</v>
      </c>
      <c r="E335" s="1">
        <v>5.0505050500000001E-3</v>
      </c>
      <c r="F335">
        <v>1</v>
      </c>
      <c r="G335">
        <v>1</v>
      </c>
      <c r="H335" s="4">
        <v>0</v>
      </c>
      <c r="I335">
        <v>4</v>
      </c>
      <c r="J335">
        <v>-204</v>
      </c>
      <c r="K335">
        <v>0</v>
      </c>
      <c r="L335">
        <v>0</v>
      </c>
      <c r="M335">
        <v>0</v>
      </c>
      <c r="N335">
        <v>0</v>
      </c>
      <c r="O335" t="str">
        <f t="shared" si="16"/>
        <v>T</v>
      </c>
      <c r="P335" t="str">
        <f t="shared" si="17"/>
        <v>A</v>
      </c>
      <c r="Q335">
        <f>IF(M335=0,0,VLOOKUP(M335,'aa codes'!$A$1:'aa codes'!$B$21,2))</f>
        <v>0</v>
      </c>
      <c r="R335">
        <f>IF(N335=0,0,VLOOKUP(N335,'aa codes'!$A$1:'aa codes'!$B$21,2))</f>
        <v>0</v>
      </c>
      <c r="S335" s="1">
        <v>0</v>
      </c>
      <c r="T335" s="1">
        <v>5.0505050500000001E-3</v>
      </c>
    </row>
    <row r="336" spans="1:20">
      <c r="A336">
        <v>9</v>
      </c>
      <c r="B336">
        <v>135802896</v>
      </c>
      <c r="C336" t="str">
        <f t="shared" si="15"/>
        <v>9:135802896</v>
      </c>
      <c r="D336">
        <v>3</v>
      </c>
      <c r="E336" s="1">
        <v>6.2893081799999997E-3</v>
      </c>
      <c r="F336">
        <v>4</v>
      </c>
      <c r="G336">
        <v>1</v>
      </c>
      <c r="H336" s="4">
        <v>0</v>
      </c>
      <c r="I336">
        <v>4</v>
      </c>
      <c r="J336">
        <v>-205</v>
      </c>
      <c r="K336">
        <v>0</v>
      </c>
      <c r="L336">
        <v>0</v>
      </c>
      <c r="M336">
        <v>0</v>
      </c>
      <c r="N336">
        <v>0</v>
      </c>
      <c r="O336" t="str">
        <f t="shared" si="16"/>
        <v>C</v>
      </c>
      <c r="P336" t="str">
        <f t="shared" si="17"/>
        <v>T</v>
      </c>
      <c r="Q336">
        <f>IF(M336=0,0,VLOOKUP(M336,'aa codes'!$A$1:'aa codes'!$B$21,2))</f>
        <v>0</v>
      </c>
      <c r="R336">
        <f>IF(N336=0,0,VLOOKUP(N336,'aa codes'!$A$1:'aa codes'!$B$21,2))</f>
        <v>0</v>
      </c>
      <c r="S336" s="1">
        <v>4.3956044000000001E-3</v>
      </c>
      <c r="T336" s="1">
        <v>6.2893081799999997E-3</v>
      </c>
    </row>
    <row r="337" spans="1:20">
      <c r="A337">
        <v>9</v>
      </c>
      <c r="B337">
        <v>135802897</v>
      </c>
      <c r="C337" t="str">
        <f t="shared" si="15"/>
        <v>9:135802897</v>
      </c>
      <c r="D337">
        <v>1</v>
      </c>
      <c r="E337" s="1">
        <v>1.7751479300000001E-2</v>
      </c>
      <c r="F337">
        <v>4</v>
      </c>
      <c r="G337">
        <v>1</v>
      </c>
      <c r="H337" s="4">
        <v>0</v>
      </c>
      <c r="I337">
        <v>4</v>
      </c>
      <c r="J337">
        <v>-206</v>
      </c>
      <c r="K337">
        <v>0</v>
      </c>
      <c r="L337">
        <v>0</v>
      </c>
      <c r="M337">
        <v>0</v>
      </c>
      <c r="N337">
        <v>0</v>
      </c>
      <c r="O337" t="str">
        <f t="shared" si="16"/>
        <v>A</v>
      </c>
      <c r="P337" t="str">
        <f t="shared" si="17"/>
        <v>T</v>
      </c>
      <c r="Q337">
        <f>IF(M337=0,0,VLOOKUP(M337,'aa codes'!$A$1:'aa codes'!$B$21,2))</f>
        <v>0</v>
      </c>
      <c r="R337">
        <f>IF(N337=0,0,VLOOKUP(N337,'aa codes'!$A$1:'aa codes'!$B$21,2))</f>
        <v>0</v>
      </c>
      <c r="S337" s="1">
        <v>4.3956044000000001E-3</v>
      </c>
      <c r="T337" s="1">
        <v>1.7751479300000001E-2</v>
      </c>
    </row>
    <row r="338" spans="1:20">
      <c r="A338">
        <v>9</v>
      </c>
      <c r="B338">
        <v>135802903</v>
      </c>
      <c r="C338" t="str">
        <f t="shared" si="15"/>
        <v>9:135802903</v>
      </c>
      <c r="D338">
        <v>1</v>
      </c>
      <c r="E338" s="1">
        <v>0.119205298</v>
      </c>
      <c r="F338">
        <v>4</v>
      </c>
      <c r="G338">
        <v>2</v>
      </c>
      <c r="H338" s="4">
        <v>0</v>
      </c>
      <c r="I338">
        <v>4</v>
      </c>
      <c r="J338">
        <v>-212</v>
      </c>
      <c r="K338">
        <v>0</v>
      </c>
      <c r="L338">
        <v>0</v>
      </c>
      <c r="M338">
        <v>0</v>
      </c>
      <c r="N338">
        <v>0</v>
      </c>
      <c r="O338" t="str">
        <f t="shared" si="16"/>
        <v>A</v>
      </c>
      <c r="P338" t="str">
        <f t="shared" si="17"/>
        <v>T</v>
      </c>
      <c r="Q338">
        <f>IF(M338=0,0,VLOOKUP(M338,'aa codes'!$A$1:'aa codes'!$B$21,2))</f>
        <v>0</v>
      </c>
      <c r="R338">
        <f>IF(N338=0,0,VLOOKUP(N338,'aa codes'!$A$1:'aa codes'!$B$21,2))</f>
        <v>0</v>
      </c>
      <c r="S338" s="1">
        <v>8.9005235599999996E-2</v>
      </c>
      <c r="T338" s="1">
        <v>0.119205298</v>
      </c>
    </row>
    <row r="339" spans="1:20">
      <c r="A339">
        <v>9</v>
      </c>
      <c r="B339">
        <v>135802906</v>
      </c>
      <c r="C339" t="str">
        <f t="shared" si="15"/>
        <v>9:135802906</v>
      </c>
      <c r="D339">
        <v>2</v>
      </c>
      <c r="E339" s="1">
        <v>8.1081081099999994E-2</v>
      </c>
      <c r="F339">
        <v>4</v>
      </c>
      <c r="G339">
        <v>2</v>
      </c>
      <c r="H339" s="4">
        <v>0</v>
      </c>
      <c r="I339">
        <v>4</v>
      </c>
      <c r="J339">
        <v>-215</v>
      </c>
      <c r="K339">
        <v>0</v>
      </c>
      <c r="L339">
        <v>0</v>
      </c>
      <c r="M339">
        <v>0</v>
      </c>
      <c r="N339">
        <v>0</v>
      </c>
      <c r="O339" t="str">
        <f t="shared" si="16"/>
        <v>G</v>
      </c>
      <c r="P339" t="str">
        <f t="shared" si="17"/>
        <v>T</v>
      </c>
      <c r="Q339">
        <f>IF(M339=0,0,VLOOKUP(M339,'aa codes'!$A$1:'aa codes'!$B$21,2))</f>
        <v>0</v>
      </c>
      <c r="R339">
        <f>IF(N339=0,0,VLOOKUP(N339,'aa codes'!$A$1:'aa codes'!$B$21,2))</f>
        <v>0</v>
      </c>
      <c r="S339" s="1">
        <v>5.1873198799999999E-2</v>
      </c>
      <c r="T339" s="1">
        <v>8.1081081099999994E-2</v>
      </c>
    </row>
    <row r="340" spans="1:20">
      <c r="A340">
        <v>9</v>
      </c>
      <c r="B340">
        <v>135802907</v>
      </c>
      <c r="C340" t="str">
        <f t="shared" si="15"/>
        <v>9:135802907</v>
      </c>
      <c r="D340">
        <v>3</v>
      </c>
      <c r="E340" s="1">
        <v>3.1645569599999999E-2</v>
      </c>
      <c r="F340">
        <v>4</v>
      </c>
      <c r="G340">
        <v>2</v>
      </c>
      <c r="H340" s="4">
        <v>0</v>
      </c>
      <c r="I340">
        <v>4</v>
      </c>
      <c r="J340">
        <v>-216</v>
      </c>
      <c r="K340">
        <v>0</v>
      </c>
      <c r="L340">
        <v>0</v>
      </c>
      <c r="M340">
        <v>0</v>
      </c>
      <c r="N340">
        <v>0</v>
      </c>
      <c r="O340" t="str">
        <f t="shared" si="16"/>
        <v>C</v>
      </c>
      <c r="P340" t="str">
        <f t="shared" si="17"/>
        <v>T</v>
      </c>
      <c r="Q340">
        <f>IF(M340=0,0,VLOOKUP(M340,'aa codes'!$A$1:'aa codes'!$B$21,2))</f>
        <v>0</v>
      </c>
      <c r="R340">
        <f>IF(N340=0,0,VLOOKUP(N340,'aa codes'!$A$1:'aa codes'!$B$21,2))</f>
        <v>0</v>
      </c>
      <c r="S340" s="1">
        <v>1.6E-2</v>
      </c>
      <c r="T340" s="1">
        <v>3.1645569599999999E-2</v>
      </c>
    </row>
    <row r="341" spans="1:20">
      <c r="A341">
        <v>9</v>
      </c>
      <c r="B341">
        <v>135802908</v>
      </c>
      <c r="C341" t="str">
        <f t="shared" si="15"/>
        <v>9:135802908</v>
      </c>
      <c r="D341">
        <v>3</v>
      </c>
      <c r="E341" s="1">
        <v>2.6565464899999999E-2</v>
      </c>
      <c r="F341">
        <v>4</v>
      </c>
      <c r="G341">
        <v>2</v>
      </c>
      <c r="H341" s="4">
        <v>0</v>
      </c>
      <c r="I341">
        <v>4</v>
      </c>
      <c r="J341">
        <v>-217</v>
      </c>
      <c r="K341">
        <v>0</v>
      </c>
      <c r="L341">
        <v>0</v>
      </c>
      <c r="M341">
        <v>0</v>
      </c>
      <c r="N341">
        <v>0</v>
      </c>
      <c r="O341" t="str">
        <f t="shared" si="16"/>
        <v>C</v>
      </c>
      <c r="P341" t="str">
        <f t="shared" si="17"/>
        <v>T</v>
      </c>
      <c r="Q341">
        <f>IF(M341=0,0,VLOOKUP(M341,'aa codes'!$A$1:'aa codes'!$B$21,2))</f>
        <v>0</v>
      </c>
      <c r="R341">
        <f>IF(N341=0,0,VLOOKUP(N341,'aa codes'!$A$1:'aa codes'!$B$21,2))</f>
        <v>0</v>
      </c>
      <c r="S341" s="1">
        <v>2.6565464899999999E-2</v>
      </c>
      <c r="T341" s="1">
        <v>2.5641025599999999E-2</v>
      </c>
    </row>
    <row r="342" spans="1:20">
      <c r="A342">
        <v>9</v>
      </c>
      <c r="B342">
        <v>135802925</v>
      </c>
      <c r="C342" t="str">
        <f t="shared" si="15"/>
        <v>9:135802925</v>
      </c>
      <c r="D342">
        <v>4</v>
      </c>
      <c r="E342" s="1">
        <v>7.75193798E-3</v>
      </c>
      <c r="F342">
        <v>1</v>
      </c>
      <c r="G342">
        <v>1</v>
      </c>
      <c r="H342" s="4">
        <v>0</v>
      </c>
      <c r="I342">
        <v>4</v>
      </c>
      <c r="J342">
        <v>-234</v>
      </c>
      <c r="K342">
        <v>0</v>
      </c>
      <c r="L342">
        <v>0</v>
      </c>
      <c r="M342">
        <v>0</v>
      </c>
      <c r="N342">
        <v>0</v>
      </c>
      <c r="O342" t="str">
        <f t="shared" si="16"/>
        <v>T</v>
      </c>
      <c r="P342" t="str">
        <f t="shared" si="17"/>
        <v>A</v>
      </c>
      <c r="Q342">
        <f>IF(M342=0,0,VLOOKUP(M342,'aa codes'!$A$1:'aa codes'!$B$21,2))</f>
        <v>0</v>
      </c>
      <c r="R342">
        <f>IF(N342=0,0,VLOOKUP(N342,'aa codes'!$A$1:'aa codes'!$B$21,2))</f>
        <v>0</v>
      </c>
      <c r="S342" s="1">
        <v>0</v>
      </c>
      <c r="T342" s="1">
        <v>7.75193798E-3</v>
      </c>
    </row>
    <row r="343" spans="1:20">
      <c r="A343">
        <v>9</v>
      </c>
      <c r="B343">
        <v>135802926</v>
      </c>
      <c r="C343" t="str">
        <f t="shared" si="15"/>
        <v>9:135802926</v>
      </c>
      <c r="D343">
        <v>4</v>
      </c>
      <c r="E343" s="1">
        <v>1.19047619E-2</v>
      </c>
      <c r="F343">
        <v>2</v>
      </c>
      <c r="G343">
        <v>2</v>
      </c>
      <c r="H343" s="4">
        <v>0</v>
      </c>
      <c r="I343">
        <v>4</v>
      </c>
      <c r="J343">
        <v>-235</v>
      </c>
      <c r="K343">
        <v>0</v>
      </c>
      <c r="L343">
        <v>0</v>
      </c>
      <c r="M343">
        <v>0</v>
      </c>
      <c r="N343">
        <v>0</v>
      </c>
      <c r="O343" t="str">
        <f t="shared" si="16"/>
        <v>T</v>
      </c>
      <c r="P343" t="str">
        <f t="shared" si="17"/>
        <v>G</v>
      </c>
      <c r="Q343">
        <f>IF(M343=0,0,VLOOKUP(M343,'aa codes'!$A$1:'aa codes'!$B$21,2))</f>
        <v>0</v>
      </c>
      <c r="R343">
        <f>IF(N343=0,0,VLOOKUP(N343,'aa codes'!$A$1:'aa codes'!$B$21,2))</f>
        <v>0</v>
      </c>
      <c r="S343" s="1">
        <v>5.3191489399999998E-3</v>
      </c>
      <c r="T343" s="1">
        <v>1.19047619E-2</v>
      </c>
    </row>
    <row r="344" spans="1:20">
      <c r="A344">
        <v>9</v>
      </c>
      <c r="B344">
        <v>135802927</v>
      </c>
      <c r="C344" t="str">
        <f t="shared" si="15"/>
        <v>9:135802927</v>
      </c>
      <c r="D344">
        <v>4</v>
      </c>
      <c r="E344" s="1">
        <v>4.5267489700000003E-2</v>
      </c>
      <c r="F344">
        <v>2</v>
      </c>
      <c r="G344">
        <v>2</v>
      </c>
      <c r="H344" s="4">
        <v>0</v>
      </c>
      <c r="I344">
        <v>4</v>
      </c>
      <c r="J344">
        <v>-236</v>
      </c>
      <c r="K344">
        <v>0</v>
      </c>
      <c r="L344">
        <v>0</v>
      </c>
      <c r="M344">
        <v>0</v>
      </c>
      <c r="N344">
        <v>0</v>
      </c>
      <c r="O344" t="str">
        <f t="shared" si="16"/>
        <v>T</v>
      </c>
      <c r="P344" t="str">
        <f t="shared" si="17"/>
        <v>G</v>
      </c>
      <c r="Q344">
        <f>IF(M344=0,0,VLOOKUP(M344,'aa codes'!$A$1:'aa codes'!$B$21,2))</f>
        <v>0</v>
      </c>
      <c r="R344">
        <f>IF(N344=0,0,VLOOKUP(N344,'aa codes'!$A$1:'aa codes'!$B$21,2))</f>
        <v>0</v>
      </c>
      <c r="S344" s="1">
        <v>1.1049723799999999E-2</v>
      </c>
      <c r="T344" s="1">
        <v>4.5267489700000003E-2</v>
      </c>
    </row>
    <row r="345" spans="1:20">
      <c r="A345">
        <v>9</v>
      </c>
      <c r="B345">
        <v>135802928</v>
      </c>
      <c r="C345" t="str">
        <f t="shared" si="15"/>
        <v>9:135802928</v>
      </c>
      <c r="D345">
        <v>4</v>
      </c>
      <c r="E345" s="1">
        <v>4.7619047599999999E-2</v>
      </c>
      <c r="F345">
        <v>2</v>
      </c>
      <c r="G345">
        <v>2</v>
      </c>
      <c r="H345" s="4">
        <v>0</v>
      </c>
      <c r="I345">
        <v>4</v>
      </c>
      <c r="J345">
        <v>-237</v>
      </c>
      <c r="K345">
        <v>0</v>
      </c>
      <c r="L345">
        <v>0</v>
      </c>
      <c r="M345">
        <v>0</v>
      </c>
      <c r="N345">
        <v>0</v>
      </c>
      <c r="O345" t="str">
        <f t="shared" si="16"/>
        <v>T</v>
      </c>
      <c r="P345" t="str">
        <f t="shared" si="17"/>
        <v>G</v>
      </c>
      <c r="Q345">
        <f>IF(M345=0,0,VLOOKUP(M345,'aa codes'!$A$1:'aa codes'!$B$21,2))</f>
        <v>0</v>
      </c>
      <c r="R345">
        <f>IF(N345=0,0,VLOOKUP(N345,'aa codes'!$A$1:'aa codes'!$B$21,2))</f>
        <v>0</v>
      </c>
      <c r="S345" s="1">
        <v>1.68539326E-2</v>
      </c>
      <c r="T345" s="1">
        <v>4.7619047599999999E-2</v>
      </c>
    </row>
    <row r="346" spans="1:20">
      <c r="A346">
        <v>9</v>
      </c>
      <c r="B346">
        <v>135802929</v>
      </c>
      <c r="C346" t="str">
        <f t="shared" si="15"/>
        <v>9:135802929</v>
      </c>
      <c r="D346">
        <v>2</v>
      </c>
      <c r="E346" s="1">
        <v>0.10270270300000001</v>
      </c>
      <c r="F346">
        <v>4</v>
      </c>
      <c r="G346">
        <v>2</v>
      </c>
      <c r="H346" s="4">
        <v>0</v>
      </c>
      <c r="I346">
        <v>4</v>
      </c>
      <c r="J346">
        <v>-238</v>
      </c>
      <c r="K346">
        <v>0</v>
      </c>
      <c r="L346">
        <v>0</v>
      </c>
      <c r="M346">
        <v>0</v>
      </c>
      <c r="N346">
        <v>0</v>
      </c>
      <c r="O346" t="str">
        <f t="shared" si="16"/>
        <v>G</v>
      </c>
      <c r="P346" t="str">
        <f t="shared" si="17"/>
        <v>T</v>
      </c>
      <c r="Q346">
        <f>IF(M346=0,0,VLOOKUP(M346,'aa codes'!$A$1:'aa codes'!$B$21,2))</f>
        <v>0</v>
      </c>
      <c r="R346">
        <f>IF(N346=0,0,VLOOKUP(N346,'aa codes'!$A$1:'aa codes'!$B$21,2))</f>
        <v>0</v>
      </c>
      <c r="S346" s="1">
        <v>5.8620689699999999E-2</v>
      </c>
      <c r="T346" s="1">
        <v>0.10270270300000001</v>
      </c>
    </row>
    <row r="347" spans="1:20">
      <c r="A347">
        <v>9</v>
      </c>
      <c r="B347">
        <v>135802930</v>
      </c>
      <c r="C347" t="str">
        <f t="shared" si="15"/>
        <v>9:135802930</v>
      </c>
      <c r="D347">
        <v>1</v>
      </c>
      <c r="E347" s="1">
        <v>5.0561797800000002E-2</v>
      </c>
      <c r="F347">
        <v>4</v>
      </c>
      <c r="G347">
        <v>2</v>
      </c>
      <c r="H347" s="4">
        <v>0</v>
      </c>
      <c r="I347">
        <v>4</v>
      </c>
      <c r="J347">
        <v>-239</v>
      </c>
      <c r="K347">
        <v>0</v>
      </c>
      <c r="L347">
        <v>0</v>
      </c>
      <c r="M347">
        <v>0</v>
      </c>
      <c r="N347">
        <v>0</v>
      </c>
      <c r="O347" t="str">
        <f t="shared" si="16"/>
        <v>A</v>
      </c>
      <c r="P347" t="str">
        <f t="shared" si="17"/>
        <v>T</v>
      </c>
      <c r="Q347">
        <f>IF(M347=0,0,VLOOKUP(M347,'aa codes'!$A$1:'aa codes'!$B$21,2))</f>
        <v>0</v>
      </c>
      <c r="R347">
        <f>IF(N347=0,0,VLOOKUP(N347,'aa codes'!$A$1:'aa codes'!$B$21,2))</f>
        <v>0</v>
      </c>
      <c r="S347" s="1">
        <v>2.6217228499999998E-2</v>
      </c>
      <c r="T347" s="1">
        <v>5.0561797800000002E-2</v>
      </c>
    </row>
    <row r="348" spans="1:20">
      <c r="A348">
        <v>9</v>
      </c>
      <c r="B348">
        <v>135802947</v>
      </c>
      <c r="C348" t="str">
        <f t="shared" si="15"/>
        <v>9:135802947</v>
      </c>
      <c r="D348">
        <v>2</v>
      </c>
      <c r="E348" s="1">
        <v>5.07614213E-3</v>
      </c>
      <c r="F348">
        <v>4</v>
      </c>
      <c r="G348">
        <v>1</v>
      </c>
      <c r="H348" s="4">
        <v>0</v>
      </c>
      <c r="I348">
        <v>4</v>
      </c>
      <c r="J348">
        <v>-256</v>
      </c>
      <c r="K348">
        <v>0</v>
      </c>
      <c r="L348">
        <v>0</v>
      </c>
      <c r="M348">
        <v>0</v>
      </c>
      <c r="N348">
        <v>0</v>
      </c>
      <c r="O348" t="str">
        <f t="shared" si="16"/>
        <v>G</v>
      </c>
      <c r="P348" t="str">
        <f t="shared" si="17"/>
        <v>T</v>
      </c>
      <c r="Q348">
        <f>IF(M348=0,0,VLOOKUP(M348,'aa codes'!$A$1:'aa codes'!$B$21,2))</f>
        <v>0</v>
      </c>
      <c r="R348">
        <f>IF(N348=0,0,VLOOKUP(N348,'aa codes'!$A$1:'aa codes'!$B$21,2))</f>
        <v>0</v>
      </c>
      <c r="S348" s="1">
        <v>5.07614213E-3</v>
      </c>
      <c r="T348" s="1">
        <v>0</v>
      </c>
    </row>
    <row r="349" spans="1:20">
      <c r="A349">
        <v>9</v>
      </c>
      <c r="B349">
        <v>135802949</v>
      </c>
      <c r="C349" t="str">
        <f t="shared" si="15"/>
        <v>9:135802949</v>
      </c>
      <c r="D349">
        <v>4</v>
      </c>
      <c r="E349" s="1">
        <v>7.9365079400000003E-3</v>
      </c>
      <c r="F349">
        <v>3</v>
      </c>
      <c r="G349">
        <v>1</v>
      </c>
      <c r="H349" s="4">
        <v>0</v>
      </c>
      <c r="I349">
        <v>4</v>
      </c>
      <c r="J349">
        <v>-258</v>
      </c>
      <c r="K349">
        <v>0</v>
      </c>
      <c r="L349">
        <v>0</v>
      </c>
      <c r="M349">
        <v>0</v>
      </c>
      <c r="N349">
        <v>0</v>
      </c>
      <c r="O349" t="str">
        <f t="shared" si="16"/>
        <v>T</v>
      </c>
      <c r="P349" t="str">
        <f t="shared" si="17"/>
        <v>C</v>
      </c>
      <c r="Q349">
        <f>IF(M349=0,0,VLOOKUP(M349,'aa codes'!$A$1:'aa codes'!$B$21,2))</f>
        <v>0</v>
      </c>
      <c r="R349">
        <f>IF(N349=0,0,VLOOKUP(N349,'aa codes'!$A$1:'aa codes'!$B$21,2))</f>
        <v>0</v>
      </c>
      <c r="S349" s="1">
        <v>0</v>
      </c>
      <c r="T349" s="1">
        <v>7.9365079400000003E-3</v>
      </c>
    </row>
    <row r="350" spans="1:20">
      <c r="A350">
        <v>9</v>
      </c>
      <c r="B350">
        <v>135802955</v>
      </c>
      <c r="C350" t="str">
        <f t="shared" si="15"/>
        <v>9:135802955</v>
      </c>
      <c r="D350">
        <v>2</v>
      </c>
      <c r="E350" s="1">
        <v>5.4644808699999999E-3</v>
      </c>
      <c r="F350">
        <v>1</v>
      </c>
      <c r="G350">
        <v>1</v>
      </c>
      <c r="H350" s="4">
        <v>0</v>
      </c>
      <c r="I350">
        <v>4</v>
      </c>
      <c r="J350">
        <v>-264</v>
      </c>
      <c r="K350">
        <v>0</v>
      </c>
      <c r="L350">
        <v>0</v>
      </c>
      <c r="M350">
        <v>0</v>
      </c>
      <c r="N350">
        <v>0</v>
      </c>
      <c r="O350" t="str">
        <f t="shared" si="16"/>
        <v>G</v>
      </c>
      <c r="P350" t="str">
        <f t="shared" si="17"/>
        <v>A</v>
      </c>
      <c r="Q350">
        <f>IF(M350=0,0,VLOOKUP(M350,'aa codes'!$A$1:'aa codes'!$B$21,2))</f>
        <v>0</v>
      </c>
      <c r="R350">
        <f>IF(N350=0,0,VLOOKUP(N350,'aa codes'!$A$1:'aa codes'!$B$21,2))</f>
        <v>0</v>
      </c>
      <c r="S350" s="1">
        <v>5.4644808699999999E-3</v>
      </c>
      <c r="T350" s="1">
        <v>0</v>
      </c>
    </row>
    <row r="351" spans="1:20">
      <c r="A351">
        <v>9</v>
      </c>
      <c r="B351">
        <v>135802959</v>
      </c>
      <c r="C351" t="str">
        <f t="shared" si="15"/>
        <v>9:135802959</v>
      </c>
      <c r="D351">
        <v>2</v>
      </c>
      <c r="E351" s="1">
        <v>5.49450549E-3</v>
      </c>
      <c r="F351">
        <v>4</v>
      </c>
      <c r="G351">
        <v>1</v>
      </c>
      <c r="H351" s="4">
        <v>0</v>
      </c>
      <c r="I351">
        <v>4</v>
      </c>
      <c r="J351">
        <v>-268</v>
      </c>
      <c r="K351">
        <v>0</v>
      </c>
      <c r="L351">
        <v>0</v>
      </c>
      <c r="M351">
        <v>0</v>
      </c>
      <c r="N351">
        <v>0</v>
      </c>
      <c r="O351" t="str">
        <f t="shared" si="16"/>
        <v>G</v>
      </c>
      <c r="P351" t="str">
        <f t="shared" si="17"/>
        <v>T</v>
      </c>
      <c r="Q351">
        <f>IF(M351=0,0,VLOOKUP(M351,'aa codes'!$A$1:'aa codes'!$B$21,2))</f>
        <v>0</v>
      </c>
      <c r="R351">
        <f>IF(N351=0,0,VLOOKUP(N351,'aa codes'!$A$1:'aa codes'!$B$21,2))</f>
        <v>0</v>
      </c>
      <c r="S351" s="1">
        <v>5.49450549E-3</v>
      </c>
      <c r="T351" s="1">
        <v>0</v>
      </c>
    </row>
    <row r="352" spans="1:20">
      <c r="A352">
        <v>9</v>
      </c>
      <c r="B352">
        <v>135802960</v>
      </c>
      <c r="C352" t="str">
        <f t="shared" si="15"/>
        <v>9:135802960</v>
      </c>
      <c r="D352">
        <v>1</v>
      </c>
      <c r="E352" s="1">
        <v>0.01</v>
      </c>
      <c r="F352">
        <v>2</v>
      </c>
      <c r="G352">
        <v>1</v>
      </c>
      <c r="H352" s="4">
        <v>0</v>
      </c>
      <c r="I352">
        <v>4</v>
      </c>
      <c r="J352">
        <v>-269</v>
      </c>
      <c r="K352">
        <v>0</v>
      </c>
      <c r="L352">
        <v>0</v>
      </c>
      <c r="M352">
        <v>0</v>
      </c>
      <c r="N352">
        <v>0</v>
      </c>
      <c r="O352" t="str">
        <f t="shared" si="16"/>
        <v>A</v>
      </c>
      <c r="P352" t="str">
        <f t="shared" si="17"/>
        <v>G</v>
      </c>
      <c r="Q352">
        <f>IF(M352=0,0,VLOOKUP(M352,'aa codes'!$A$1:'aa codes'!$B$21,2))</f>
        <v>0</v>
      </c>
      <c r="R352">
        <f>IF(N352=0,0,VLOOKUP(N352,'aa codes'!$A$1:'aa codes'!$B$21,2))</f>
        <v>0</v>
      </c>
      <c r="S352" s="1">
        <v>0</v>
      </c>
      <c r="T352" s="1">
        <v>0.01</v>
      </c>
    </row>
    <row r="353" spans="1:20">
      <c r="A353">
        <v>9</v>
      </c>
      <c r="B353">
        <v>135802965</v>
      </c>
      <c r="C353" t="str">
        <f t="shared" si="15"/>
        <v>9:135802965</v>
      </c>
      <c r="D353">
        <v>1</v>
      </c>
      <c r="E353" s="1">
        <v>5.49450549E-3</v>
      </c>
      <c r="F353">
        <v>4</v>
      </c>
      <c r="G353">
        <v>1</v>
      </c>
      <c r="H353" s="4">
        <v>0</v>
      </c>
      <c r="I353">
        <v>4</v>
      </c>
      <c r="J353">
        <v>-274</v>
      </c>
      <c r="K353">
        <v>0</v>
      </c>
      <c r="L353">
        <v>0</v>
      </c>
      <c r="M353">
        <v>0</v>
      </c>
      <c r="N353">
        <v>0</v>
      </c>
      <c r="O353" t="str">
        <f t="shared" si="16"/>
        <v>A</v>
      </c>
      <c r="P353" t="str">
        <f t="shared" si="17"/>
        <v>T</v>
      </c>
      <c r="Q353">
        <f>IF(M353=0,0,VLOOKUP(M353,'aa codes'!$A$1:'aa codes'!$B$21,2))</f>
        <v>0</v>
      </c>
      <c r="R353">
        <f>IF(N353=0,0,VLOOKUP(N353,'aa codes'!$A$1:'aa codes'!$B$21,2))</f>
        <v>0</v>
      </c>
      <c r="S353" s="1">
        <v>5.49450549E-3</v>
      </c>
      <c r="T353" s="1">
        <v>0</v>
      </c>
    </row>
    <row r="354" spans="1:20">
      <c r="A354">
        <v>9</v>
      </c>
      <c r="B354">
        <v>135802969</v>
      </c>
      <c r="C354" t="str">
        <f t="shared" si="15"/>
        <v>9:135802969</v>
      </c>
      <c r="D354">
        <v>2</v>
      </c>
      <c r="E354" s="1">
        <v>1.19047619E-2</v>
      </c>
      <c r="F354">
        <v>1</v>
      </c>
      <c r="G354">
        <v>1</v>
      </c>
      <c r="H354" s="4">
        <v>0</v>
      </c>
      <c r="I354">
        <v>4</v>
      </c>
      <c r="J354">
        <v>-278</v>
      </c>
      <c r="K354">
        <v>0</v>
      </c>
      <c r="L354">
        <v>0</v>
      </c>
      <c r="M354">
        <v>0</v>
      </c>
      <c r="N354">
        <v>0</v>
      </c>
      <c r="O354" t="str">
        <f t="shared" si="16"/>
        <v>G</v>
      </c>
      <c r="P354" t="str">
        <f t="shared" si="17"/>
        <v>A</v>
      </c>
      <c r="Q354">
        <f>IF(M354=0,0,VLOOKUP(M354,'aa codes'!$A$1:'aa codes'!$B$21,2))</f>
        <v>0</v>
      </c>
      <c r="R354">
        <f>IF(N354=0,0,VLOOKUP(N354,'aa codes'!$A$1:'aa codes'!$B$21,2))</f>
        <v>0</v>
      </c>
      <c r="S354" s="1">
        <v>0</v>
      </c>
      <c r="T354" s="1">
        <v>1.19047619E-2</v>
      </c>
    </row>
    <row r="355" spans="1:20">
      <c r="A355">
        <v>9</v>
      </c>
      <c r="B355">
        <v>135802971</v>
      </c>
      <c r="C355" t="str">
        <f t="shared" si="15"/>
        <v>9:135802971</v>
      </c>
      <c r="D355">
        <v>1</v>
      </c>
      <c r="E355" s="1">
        <v>5.2083333300000003E-3</v>
      </c>
      <c r="F355">
        <v>2</v>
      </c>
      <c r="G355">
        <v>1</v>
      </c>
      <c r="H355" s="4">
        <v>0</v>
      </c>
      <c r="I355">
        <v>4</v>
      </c>
      <c r="J355">
        <v>-280</v>
      </c>
      <c r="K355">
        <v>0</v>
      </c>
      <c r="L355">
        <v>0</v>
      </c>
      <c r="M355">
        <v>0</v>
      </c>
      <c r="N355">
        <v>0</v>
      </c>
      <c r="O355" t="str">
        <f t="shared" si="16"/>
        <v>A</v>
      </c>
      <c r="P355" t="str">
        <f t="shared" si="17"/>
        <v>G</v>
      </c>
      <c r="Q355">
        <f>IF(M355=0,0,VLOOKUP(M355,'aa codes'!$A$1:'aa codes'!$B$21,2))</f>
        <v>0</v>
      </c>
      <c r="R355">
        <f>IF(N355=0,0,VLOOKUP(N355,'aa codes'!$A$1:'aa codes'!$B$21,2))</f>
        <v>0</v>
      </c>
      <c r="S355" s="1">
        <v>5.2083333300000003E-3</v>
      </c>
      <c r="T355" s="1">
        <v>0</v>
      </c>
    </row>
    <row r="356" spans="1:20">
      <c r="A356">
        <v>9</v>
      </c>
      <c r="B356">
        <v>135802972</v>
      </c>
      <c r="C356" t="str">
        <f t="shared" si="15"/>
        <v>9:135802972</v>
      </c>
      <c r="D356">
        <v>3</v>
      </c>
      <c r="E356" s="1">
        <v>5.7142857100000001E-3</v>
      </c>
      <c r="F356">
        <v>4</v>
      </c>
      <c r="G356">
        <v>1</v>
      </c>
      <c r="H356" s="4">
        <v>0</v>
      </c>
      <c r="I356">
        <v>4</v>
      </c>
      <c r="J356">
        <v>-281</v>
      </c>
      <c r="K356">
        <v>0</v>
      </c>
      <c r="L356">
        <v>0</v>
      </c>
      <c r="M356">
        <v>0</v>
      </c>
      <c r="N356">
        <v>0</v>
      </c>
      <c r="O356" t="str">
        <f t="shared" si="16"/>
        <v>C</v>
      </c>
      <c r="P356" t="str">
        <f t="shared" si="17"/>
        <v>T</v>
      </c>
      <c r="Q356">
        <f>IF(M356=0,0,VLOOKUP(M356,'aa codes'!$A$1:'aa codes'!$B$21,2))</f>
        <v>0</v>
      </c>
      <c r="R356">
        <f>IF(N356=0,0,VLOOKUP(N356,'aa codes'!$A$1:'aa codes'!$B$21,2))</f>
        <v>0</v>
      </c>
      <c r="S356" s="1">
        <v>5.7142857100000001E-3</v>
      </c>
      <c r="T356" s="1">
        <v>0</v>
      </c>
    </row>
    <row r="357" spans="1:20">
      <c r="A357">
        <v>9</v>
      </c>
      <c r="B357">
        <v>135802973</v>
      </c>
      <c r="C357" t="str">
        <f t="shared" si="15"/>
        <v>9:135802973</v>
      </c>
      <c r="D357">
        <v>1</v>
      </c>
      <c r="E357" s="1">
        <v>5.26315789E-3</v>
      </c>
      <c r="F357">
        <v>2</v>
      </c>
      <c r="G357">
        <v>1</v>
      </c>
      <c r="H357" s="4">
        <v>0</v>
      </c>
      <c r="I357">
        <v>4</v>
      </c>
      <c r="J357">
        <v>-282</v>
      </c>
      <c r="K357">
        <v>0</v>
      </c>
      <c r="L357">
        <v>0</v>
      </c>
      <c r="M357">
        <v>0</v>
      </c>
      <c r="N357">
        <v>0</v>
      </c>
      <c r="O357" t="str">
        <f t="shared" si="16"/>
        <v>A</v>
      </c>
      <c r="P357" t="str">
        <f t="shared" si="17"/>
        <v>G</v>
      </c>
      <c r="Q357">
        <f>IF(M357=0,0,VLOOKUP(M357,'aa codes'!$A$1:'aa codes'!$B$21,2))</f>
        <v>0</v>
      </c>
      <c r="R357">
        <f>IF(N357=0,0,VLOOKUP(N357,'aa codes'!$A$1:'aa codes'!$B$21,2))</f>
        <v>0</v>
      </c>
      <c r="S357" s="1">
        <v>5.26315789E-3</v>
      </c>
      <c r="T357" s="1">
        <v>0</v>
      </c>
    </row>
    <row r="358" spans="1:20">
      <c r="A358">
        <v>9</v>
      </c>
      <c r="B358">
        <v>135802978</v>
      </c>
      <c r="C358" t="str">
        <f t="shared" si="15"/>
        <v>9:135802978</v>
      </c>
      <c r="D358">
        <v>3</v>
      </c>
      <c r="E358" s="1">
        <v>1.08695652E-2</v>
      </c>
      <c r="F358">
        <v>4</v>
      </c>
      <c r="G358">
        <v>2</v>
      </c>
      <c r="H358" s="4">
        <v>0</v>
      </c>
      <c r="I358">
        <v>4</v>
      </c>
      <c r="J358">
        <v>-287</v>
      </c>
      <c r="K358">
        <v>0</v>
      </c>
      <c r="L358">
        <v>0</v>
      </c>
      <c r="M358">
        <v>0</v>
      </c>
      <c r="N358">
        <v>0</v>
      </c>
      <c r="O358" t="str">
        <f t="shared" si="16"/>
        <v>C</v>
      </c>
      <c r="P358" t="str">
        <f t="shared" si="17"/>
        <v>T</v>
      </c>
      <c r="Q358">
        <f>IF(M358=0,0,VLOOKUP(M358,'aa codes'!$A$1:'aa codes'!$B$21,2))</f>
        <v>0</v>
      </c>
      <c r="R358">
        <f>IF(N358=0,0,VLOOKUP(N358,'aa codes'!$A$1:'aa codes'!$B$21,2))</f>
        <v>0</v>
      </c>
      <c r="S358" s="1">
        <v>5.64971751E-3</v>
      </c>
      <c r="T358" s="1">
        <v>1.08695652E-2</v>
      </c>
    </row>
    <row r="359" spans="1:20">
      <c r="A359">
        <v>9</v>
      </c>
      <c r="B359">
        <v>135802979</v>
      </c>
      <c r="C359" t="str">
        <f t="shared" si="15"/>
        <v>9:135802979</v>
      </c>
      <c r="D359">
        <v>1</v>
      </c>
      <c r="E359" s="1">
        <v>1.0752688200000001E-2</v>
      </c>
      <c r="F359">
        <v>2</v>
      </c>
      <c r="G359">
        <v>2</v>
      </c>
      <c r="H359" s="4">
        <v>0</v>
      </c>
      <c r="I359">
        <v>4</v>
      </c>
      <c r="J359">
        <v>-288</v>
      </c>
      <c r="K359">
        <v>0</v>
      </c>
      <c r="L359">
        <v>0</v>
      </c>
      <c r="M359">
        <v>0</v>
      </c>
      <c r="N359">
        <v>0</v>
      </c>
      <c r="O359" t="str">
        <f t="shared" si="16"/>
        <v>A</v>
      </c>
      <c r="P359" t="str">
        <f t="shared" si="17"/>
        <v>G</v>
      </c>
      <c r="Q359">
        <f>IF(M359=0,0,VLOOKUP(M359,'aa codes'!$A$1:'aa codes'!$B$21,2))</f>
        <v>0</v>
      </c>
      <c r="R359">
        <f>IF(N359=0,0,VLOOKUP(N359,'aa codes'!$A$1:'aa codes'!$B$21,2))</f>
        <v>0</v>
      </c>
      <c r="S359" s="1">
        <v>5.4054054100000004E-3</v>
      </c>
      <c r="T359" s="1">
        <v>1.0752688200000001E-2</v>
      </c>
    </row>
    <row r="360" spans="1:20">
      <c r="A360">
        <v>9</v>
      </c>
      <c r="B360">
        <v>135802980</v>
      </c>
      <c r="C360" t="str">
        <f t="shared" si="15"/>
        <v>9:135802980</v>
      </c>
      <c r="D360">
        <v>2</v>
      </c>
      <c r="E360" s="1">
        <v>5.6179775300000002E-3</v>
      </c>
      <c r="F360">
        <v>1</v>
      </c>
      <c r="G360">
        <v>1</v>
      </c>
      <c r="H360" s="4">
        <v>0</v>
      </c>
      <c r="I360">
        <v>4</v>
      </c>
      <c r="J360">
        <v>-289</v>
      </c>
      <c r="K360">
        <v>0</v>
      </c>
      <c r="L360">
        <v>0</v>
      </c>
      <c r="M360">
        <v>0</v>
      </c>
      <c r="N360">
        <v>0</v>
      </c>
      <c r="O360" t="str">
        <f t="shared" si="16"/>
        <v>G</v>
      </c>
      <c r="P360" t="str">
        <f t="shared" si="17"/>
        <v>A</v>
      </c>
      <c r="Q360">
        <f>IF(M360=0,0,VLOOKUP(M360,'aa codes'!$A$1:'aa codes'!$B$21,2))</f>
        <v>0</v>
      </c>
      <c r="R360">
        <f>IF(N360=0,0,VLOOKUP(N360,'aa codes'!$A$1:'aa codes'!$B$21,2))</f>
        <v>0</v>
      </c>
      <c r="S360" s="1">
        <v>5.6179775300000002E-3</v>
      </c>
      <c r="T360" s="1">
        <v>0</v>
      </c>
    </row>
    <row r="361" spans="1:20">
      <c r="A361">
        <v>9</v>
      </c>
      <c r="B361">
        <v>135802987</v>
      </c>
      <c r="C361" t="str">
        <f t="shared" si="15"/>
        <v>9:135802987</v>
      </c>
      <c r="D361">
        <v>2</v>
      </c>
      <c r="E361" s="1">
        <v>1.19047619E-2</v>
      </c>
      <c r="F361">
        <v>1</v>
      </c>
      <c r="G361">
        <v>1</v>
      </c>
      <c r="H361" s="4">
        <v>0</v>
      </c>
      <c r="I361">
        <v>4</v>
      </c>
      <c r="J361">
        <v>-296</v>
      </c>
      <c r="K361">
        <v>0</v>
      </c>
      <c r="L361">
        <v>0</v>
      </c>
      <c r="M361">
        <v>0</v>
      </c>
      <c r="N361">
        <v>0</v>
      </c>
      <c r="O361" t="str">
        <f t="shared" si="16"/>
        <v>G</v>
      </c>
      <c r="P361" t="str">
        <f t="shared" si="17"/>
        <v>A</v>
      </c>
      <c r="Q361">
        <f>IF(M361=0,0,VLOOKUP(M361,'aa codes'!$A$1:'aa codes'!$B$21,2))</f>
        <v>0</v>
      </c>
      <c r="R361">
        <f>IF(N361=0,0,VLOOKUP(N361,'aa codes'!$A$1:'aa codes'!$B$21,2))</f>
        <v>0</v>
      </c>
      <c r="S361" s="1">
        <v>0</v>
      </c>
      <c r="T361" s="1">
        <v>1.19047619E-2</v>
      </c>
    </row>
    <row r="362" spans="1:20">
      <c r="A362">
        <v>9</v>
      </c>
      <c r="B362">
        <v>135802991</v>
      </c>
      <c r="C362" t="str">
        <f t="shared" si="15"/>
        <v>9:135802991</v>
      </c>
      <c r="D362">
        <v>3</v>
      </c>
      <c r="E362" s="1">
        <v>1.5873015899999999E-2</v>
      </c>
      <c r="F362">
        <v>2</v>
      </c>
      <c r="G362">
        <v>2</v>
      </c>
      <c r="H362" s="4">
        <v>0</v>
      </c>
      <c r="I362">
        <v>4</v>
      </c>
      <c r="J362">
        <v>-300</v>
      </c>
      <c r="K362">
        <v>0</v>
      </c>
      <c r="L362">
        <v>0</v>
      </c>
      <c r="M362">
        <v>0</v>
      </c>
      <c r="N362">
        <v>0</v>
      </c>
      <c r="O362" t="str">
        <f t="shared" si="16"/>
        <v>C</v>
      </c>
      <c r="P362" t="str">
        <f t="shared" si="17"/>
        <v>G</v>
      </c>
      <c r="Q362">
        <f>IF(M362=0,0,VLOOKUP(M362,'aa codes'!$A$1:'aa codes'!$B$21,2))</f>
        <v>0</v>
      </c>
      <c r="R362">
        <f>IF(N362=0,0,VLOOKUP(N362,'aa codes'!$A$1:'aa codes'!$B$21,2))</f>
        <v>0</v>
      </c>
      <c r="S362" s="1">
        <v>6.9444444400000001E-3</v>
      </c>
      <c r="T362" s="1">
        <v>1.5873015899999999E-2</v>
      </c>
    </row>
    <row r="363" spans="1:20">
      <c r="A363">
        <v>9</v>
      </c>
      <c r="B363">
        <v>135803000</v>
      </c>
      <c r="C363" t="str">
        <f t="shared" si="15"/>
        <v>9:135803000</v>
      </c>
      <c r="D363">
        <v>3</v>
      </c>
      <c r="E363" s="1">
        <v>1.19047619E-2</v>
      </c>
      <c r="F363">
        <v>1</v>
      </c>
      <c r="G363">
        <v>1</v>
      </c>
      <c r="H363" s="4">
        <v>0</v>
      </c>
      <c r="I363">
        <v>4</v>
      </c>
      <c r="J363">
        <v>-309</v>
      </c>
      <c r="K363">
        <v>0</v>
      </c>
      <c r="L363">
        <v>0</v>
      </c>
      <c r="M363">
        <v>0</v>
      </c>
      <c r="N363">
        <v>0</v>
      </c>
      <c r="O363" t="str">
        <f t="shared" si="16"/>
        <v>C</v>
      </c>
      <c r="P363" t="str">
        <f t="shared" si="17"/>
        <v>A</v>
      </c>
      <c r="Q363">
        <f>IF(M363=0,0,VLOOKUP(M363,'aa codes'!$A$1:'aa codes'!$B$21,2))</f>
        <v>0</v>
      </c>
      <c r="R363">
        <f>IF(N363=0,0,VLOOKUP(N363,'aa codes'!$A$1:'aa codes'!$B$21,2))</f>
        <v>0</v>
      </c>
      <c r="S363" s="1">
        <v>0</v>
      </c>
      <c r="T363" s="1">
        <v>1.19047619E-2</v>
      </c>
    </row>
    <row r="364" spans="1:20">
      <c r="A364">
        <v>9</v>
      </c>
      <c r="B364">
        <v>135803004</v>
      </c>
      <c r="C364" t="str">
        <f t="shared" si="15"/>
        <v>9:135803004</v>
      </c>
      <c r="D364">
        <v>2</v>
      </c>
      <c r="E364" s="1">
        <v>6.5789473700000002E-3</v>
      </c>
      <c r="F364">
        <v>4</v>
      </c>
      <c r="G364">
        <v>1</v>
      </c>
      <c r="H364" s="4">
        <v>0</v>
      </c>
      <c r="I364">
        <v>4</v>
      </c>
      <c r="J364">
        <v>-313</v>
      </c>
      <c r="K364">
        <v>0</v>
      </c>
      <c r="L364">
        <v>0</v>
      </c>
      <c r="M364">
        <v>0</v>
      </c>
      <c r="N364">
        <v>0</v>
      </c>
      <c r="O364" t="str">
        <f t="shared" si="16"/>
        <v>G</v>
      </c>
      <c r="P364" t="str">
        <f t="shared" si="17"/>
        <v>T</v>
      </c>
      <c r="Q364">
        <f>IF(M364=0,0,VLOOKUP(M364,'aa codes'!$A$1:'aa codes'!$B$21,2))</f>
        <v>0</v>
      </c>
      <c r="R364">
        <f>IF(N364=0,0,VLOOKUP(N364,'aa codes'!$A$1:'aa codes'!$B$21,2))</f>
        <v>0</v>
      </c>
      <c r="S364" s="1">
        <v>6.5789473700000002E-3</v>
      </c>
      <c r="T364" s="1">
        <v>0</v>
      </c>
    </row>
    <row r="365" spans="1:20">
      <c r="A365">
        <v>9</v>
      </c>
      <c r="B365">
        <v>135803011</v>
      </c>
      <c r="C365" t="str">
        <f t="shared" si="15"/>
        <v>9:135803011</v>
      </c>
      <c r="D365">
        <v>2</v>
      </c>
      <c r="E365" s="1">
        <v>6.0240963899999998E-3</v>
      </c>
      <c r="F365">
        <v>3</v>
      </c>
      <c r="G365">
        <v>1</v>
      </c>
      <c r="H365" s="4">
        <v>0</v>
      </c>
      <c r="I365">
        <v>4</v>
      </c>
      <c r="J365">
        <v>-320</v>
      </c>
      <c r="K365">
        <v>0</v>
      </c>
      <c r="L365">
        <v>0</v>
      </c>
      <c r="M365">
        <v>0</v>
      </c>
      <c r="N365">
        <v>0</v>
      </c>
      <c r="O365" t="str">
        <f t="shared" si="16"/>
        <v>G</v>
      </c>
      <c r="P365" t="str">
        <f t="shared" si="17"/>
        <v>C</v>
      </c>
      <c r="Q365">
        <f>IF(M365=0,0,VLOOKUP(M365,'aa codes'!$A$1:'aa codes'!$B$21,2))</f>
        <v>0</v>
      </c>
      <c r="R365">
        <f>IF(N365=0,0,VLOOKUP(N365,'aa codes'!$A$1:'aa codes'!$B$21,2))</f>
        <v>0</v>
      </c>
      <c r="S365" s="1">
        <v>6.0240963899999998E-3</v>
      </c>
      <c r="T365" s="1">
        <v>0</v>
      </c>
    </row>
    <row r="366" spans="1:20">
      <c r="A366">
        <v>9</v>
      </c>
      <c r="B366">
        <v>135803013</v>
      </c>
      <c r="C366" t="str">
        <f t="shared" si="15"/>
        <v>9:135803013</v>
      </c>
      <c r="D366">
        <v>1</v>
      </c>
      <c r="E366" s="1">
        <v>1.04166667E-2</v>
      </c>
      <c r="F366">
        <v>4</v>
      </c>
      <c r="G366">
        <v>1</v>
      </c>
      <c r="H366" s="4">
        <v>0</v>
      </c>
      <c r="I366">
        <v>4</v>
      </c>
      <c r="J366">
        <v>-322</v>
      </c>
      <c r="K366">
        <v>0</v>
      </c>
      <c r="L366">
        <v>0</v>
      </c>
      <c r="M366">
        <v>0</v>
      </c>
      <c r="N366">
        <v>0</v>
      </c>
      <c r="O366" t="str">
        <f t="shared" si="16"/>
        <v>A</v>
      </c>
      <c r="P366" t="str">
        <f t="shared" si="17"/>
        <v>T</v>
      </c>
      <c r="Q366">
        <f>IF(M366=0,0,VLOOKUP(M366,'aa codes'!$A$1:'aa codes'!$B$21,2))</f>
        <v>0</v>
      </c>
      <c r="R366">
        <f>IF(N366=0,0,VLOOKUP(N366,'aa codes'!$A$1:'aa codes'!$B$21,2))</f>
        <v>0</v>
      </c>
      <c r="S366" s="1">
        <v>0</v>
      </c>
      <c r="T366" s="1">
        <v>1.04166667E-2</v>
      </c>
    </row>
    <row r="367" spans="1:20">
      <c r="A367">
        <v>9</v>
      </c>
      <c r="B367">
        <v>135803016</v>
      </c>
      <c r="C367" t="str">
        <f t="shared" si="15"/>
        <v>9:135803016</v>
      </c>
      <c r="D367">
        <v>4</v>
      </c>
      <c r="E367" s="1">
        <v>9.9009900999999997E-3</v>
      </c>
      <c r="F367">
        <v>2</v>
      </c>
      <c r="G367">
        <v>1</v>
      </c>
      <c r="H367" s="4">
        <v>0</v>
      </c>
      <c r="I367">
        <v>4</v>
      </c>
      <c r="J367">
        <v>-325</v>
      </c>
      <c r="K367">
        <v>0</v>
      </c>
      <c r="L367">
        <v>0</v>
      </c>
      <c r="M367">
        <v>0</v>
      </c>
      <c r="N367">
        <v>0</v>
      </c>
      <c r="O367" t="str">
        <f t="shared" si="16"/>
        <v>T</v>
      </c>
      <c r="P367" t="str">
        <f t="shared" si="17"/>
        <v>G</v>
      </c>
      <c r="Q367">
        <f>IF(M367=0,0,VLOOKUP(M367,'aa codes'!$A$1:'aa codes'!$B$21,2))</f>
        <v>0</v>
      </c>
      <c r="R367">
        <f>IF(N367=0,0,VLOOKUP(N367,'aa codes'!$A$1:'aa codes'!$B$21,2))</f>
        <v>0</v>
      </c>
      <c r="S367" s="1">
        <v>0</v>
      </c>
      <c r="T367" s="1">
        <v>9.9009900999999997E-3</v>
      </c>
    </row>
    <row r="368" spans="1:20">
      <c r="A368">
        <v>9</v>
      </c>
      <c r="B368">
        <v>135803019</v>
      </c>
      <c r="C368" t="str">
        <f t="shared" si="15"/>
        <v>9:135803019</v>
      </c>
      <c r="D368">
        <v>3</v>
      </c>
      <c r="E368" s="1">
        <v>6.8493150699999996E-3</v>
      </c>
      <c r="F368">
        <v>4</v>
      </c>
      <c r="G368">
        <v>1</v>
      </c>
      <c r="H368" s="4">
        <v>0</v>
      </c>
      <c r="I368">
        <v>4</v>
      </c>
      <c r="J368">
        <v>-328</v>
      </c>
      <c r="K368">
        <v>0</v>
      </c>
      <c r="L368">
        <v>0</v>
      </c>
      <c r="M368">
        <v>0</v>
      </c>
      <c r="N368">
        <v>0</v>
      </c>
      <c r="O368" t="str">
        <f t="shared" si="16"/>
        <v>C</v>
      </c>
      <c r="P368" t="str">
        <f t="shared" si="17"/>
        <v>T</v>
      </c>
      <c r="Q368">
        <f>IF(M368=0,0,VLOOKUP(M368,'aa codes'!$A$1:'aa codes'!$B$21,2))</f>
        <v>0</v>
      </c>
      <c r="R368">
        <f>IF(N368=0,0,VLOOKUP(N368,'aa codes'!$A$1:'aa codes'!$B$21,2))</f>
        <v>0</v>
      </c>
      <c r="S368" s="1">
        <v>6.8493150699999996E-3</v>
      </c>
      <c r="T368" s="1">
        <v>0</v>
      </c>
    </row>
    <row r="369" spans="1:20">
      <c r="A369">
        <v>9</v>
      </c>
      <c r="B369">
        <v>135803020</v>
      </c>
      <c r="C369" t="str">
        <f t="shared" si="15"/>
        <v>9:135803020</v>
      </c>
      <c r="D369">
        <v>2</v>
      </c>
      <c r="E369" s="1">
        <v>1.2345679E-2</v>
      </c>
      <c r="F369">
        <v>4</v>
      </c>
      <c r="G369">
        <v>2</v>
      </c>
      <c r="H369" s="4">
        <v>0</v>
      </c>
      <c r="I369">
        <v>4</v>
      </c>
      <c r="J369">
        <v>-329</v>
      </c>
      <c r="K369">
        <v>0</v>
      </c>
      <c r="L369">
        <v>0</v>
      </c>
      <c r="M369">
        <v>0</v>
      </c>
      <c r="N369">
        <v>0</v>
      </c>
      <c r="O369" t="str">
        <f t="shared" si="16"/>
        <v>G</v>
      </c>
      <c r="P369" t="str">
        <f t="shared" si="17"/>
        <v>T</v>
      </c>
      <c r="Q369">
        <f>IF(M369=0,0,VLOOKUP(M369,'aa codes'!$A$1:'aa codes'!$B$21,2))</f>
        <v>0</v>
      </c>
      <c r="R369">
        <f>IF(N369=0,0,VLOOKUP(N369,'aa codes'!$A$1:'aa codes'!$B$21,2))</f>
        <v>0</v>
      </c>
      <c r="S369" s="1">
        <v>1.2345679E-2</v>
      </c>
      <c r="T369" s="1">
        <v>1.04166667E-2</v>
      </c>
    </row>
    <row r="370" spans="1:20">
      <c r="A370">
        <v>9</v>
      </c>
      <c r="B370">
        <v>135803034</v>
      </c>
      <c r="C370" t="str">
        <f t="shared" si="15"/>
        <v>9:135803034</v>
      </c>
      <c r="D370">
        <v>3</v>
      </c>
      <c r="E370" s="1">
        <v>1.01010101E-2</v>
      </c>
      <c r="F370">
        <v>1</v>
      </c>
      <c r="G370">
        <v>1</v>
      </c>
      <c r="H370" s="4">
        <v>0</v>
      </c>
      <c r="I370">
        <v>4</v>
      </c>
      <c r="J370">
        <v>-343</v>
      </c>
      <c r="K370">
        <v>0</v>
      </c>
      <c r="L370">
        <v>0</v>
      </c>
      <c r="M370">
        <v>0</v>
      </c>
      <c r="N370">
        <v>0</v>
      </c>
      <c r="O370" t="str">
        <f t="shared" si="16"/>
        <v>C</v>
      </c>
      <c r="P370" t="str">
        <f t="shared" si="17"/>
        <v>A</v>
      </c>
      <c r="Q370">
        <f>IF(M370=0,0,VLOOKUP(M370,'aa codes'!$A$1:'aa codes'!$B$21,2))</f>
        <v>0</v>
      </c>
      <c r="R370">
        <f>IF(N370=0,0,VLOOKUP(N370,'aa codes'!$A$1:'aa codes'!$B$21,2))</f>
        <v>0</v>
      </c>
      <c r="S370" s="1">
        <v>0</v>
      </c>
      <c r="T370" s="1">
        <v>1.01010101E-2</v>
      </c>
    </row>
    <row r="371" spans="1:20">
      <c r="A371">
        <v>9</v>
      </c>
      <c r="B371">
        <v>135803035</v>
      </c>
      <c r="C371" t="str">
        <f t="shared" si="15"/>
        <v>9:135803035</v>
      </c>
      <c r="D371">
        <v>1</v>
      </c>
      <c r="E371" s="1">
        <v>9.6153846200000004E-3</v>
      </c>
      <c r="F371">
        <v>2</v>
      </c>
      <c r="G371">
        <v>1</v>
      </c>
      <c r="H371" s="4">
        <v>0</v>
      </c>
      <c r="I371">
        <v>4</v>
      </c>
      <c r="J371">
        <v>-344</v>
      </c>
      <c r="K371">
        <v>0</v>
      </c>
      <c r="L371">
        <v>0</v>
      </c>
      <c r="M371">
        <v>0</v>
      </c>
      <c r="N371">
        <v>0</v>
      </c>
      <c r="O371" t="str">
        <f t="shared" si="16"/>
        <v>A</v>
      </c>
      <c r="P371" t="str">
        <f t="shared" si="17"/>
        <v>G</v>
      </c>
      <c r="Q371">
        <f>IF(M371=0,0,VLOOKUP(M371,'aa codes'!$A$1:'aa codes'!$B$21,2))</f>
        <v>0</v>
      </c>
      <c r="R371">
        <f>IF(N371=0,0,VLOOKUP(N371,'aa codes'!$A$1:'aa codes'!$B$21,2))</f>
        <v>0</v>
      </c>
      <c r="S371" s="1">
        <v>0</v>
      </c>
      <c r="T371" s="1">
        <v>9.6153846200000004E-3</v>
      </c>
    </row>
    <row r="372" spans="1:20">
      <c r="A372">
        <v>9</v>
      </c>
      <c r="B372">
        <v>135803040</v>
      </c>
      <c r="C372" t="str">
        <f t="shared" si="15"/>
        <v>9:135803040</v>
      </c>
      <c r="D372">
        <v>2</v>
      </c>
      <c r="E372" s="1">
        <v>1.05263158E-2</v>
      </c>
      <c r="F372">
        <v>1</v>
      </c>
      <c r="G372">
        <v>1</v>
      </c>
      <c r="H372" s="4">
        <v>0</v>
      </c>
      <c r="I372">
        <v>4</v>
      </c>
      <c r="J372">
        <v>-349</v>
      </c>
      <c r="K372">
        <v>0</v>
      </c>
      <c r="L372">
        <v>0</v>
      </c>
      <c r="M372">
        <v>0</v>
      </c>
      <c r="N372">
        <v>0</v>
      </c>
      <c r="O372" t="str">
        <f t="shared" si="16"/>
        <v>G</v>
      </c>
      <c r="P372" t="str">
        <f t="shared" si="17"/>
        <v>A</v>
      </c>
      <c r="Q372">
        <f>IF(M372=0,0,VLOOKUP(M372,'aa codes'!$A$1:'aa codes'!$B$21,2))</f>
        <v>0</v>
      </c>
      <c r="R372">
        <f>IF(N372=0,0,VLOOKUP(N372,'aa codes'!$A$1:'aa codes'!$B$21,2))</f>
        <v>0</v>
      </c>
      <c r="S372" s="1">
        <v>0</v>
      </c>
      <c r="T372" s="1">
        <v>1.05263158E-2</v>
      </c>
    </row>
    <row r="373" spans="1:20">
      <c r="A373">
        <v>9</v>
      </c>
      <c r="B373">
        <v>135803051</v>
      </c>
      <c r="C373" t="str">
        <f t="shared" si="15"/>
        <v>9:135803051</v>
      </c>
      <c r="D373">
        <v>4</v>
      </c>
      <c r="E373" s="1">
        <v>6.4935064900000002E-3</v>
      </c>
      <c r="F373">
        <v>3</v>
      </c>
      <c r="G373">
        <v>1</v>
      </c>
      <c r="H373" s="4">
        <v>0</v>
      </c>
      <c r="I373">
        <v>4</v>
      </c>
      <c r="J373">
        <v>-360</v>
      </c>
      <c r="K373">
        <v>0</v>
      </c>
      <c r="L373">
        <v>0</v>
      </c>
      <c r="M373">
        <v>0</v>
      </c>
      <c r="N373">
        <v>0</v>
      </c>
      <c r="O373" t="str">
        <f t="shared" si="16"/>
        <v>T</v>
      </c>
      <c r="P373" t="str">
        <f t="shared" si="17"/>
        <v>C</v>
      </c>
      <c r="Q373">
        <f>IF(M373=0,0,VLOOKUP(M373,'aa codes'!$A$1:'aa codes'!$B$21,2))</f>
        <v>0</v>
      </c>
      <c r="R373">
        <f>IF(N373=0,0,VLOOKUP(N373,'aa codes'!$A$1:'aa codes'!$B$21,2))</f>
        <v>0</v>
      </c>
      <c r="S373" s="1">
        <v>6.4935064900000002E-3</v>
      </c>
      <c r="T373" s="1">
        <v>0</v>
      </c>
    </row>
    <row r="374" spans="1:20">
      <c r="A374">
        <v>9</v>
      </c>
      <c r="B374">
        <v>135803058</v>
      </c>
      <c r="C374" t="str">
        <f t="shared" si="15"/>
        <v>9:135803058</v>
      </c>
      <c r="D374">
        <v>3</v>
      </c>
      <c r="E374" s="1">
        <v>6.7567567599999996E-3</v>
      </c>
      <c r="F374">
        <v>4</v>
      </c>
      <c r="G374">
        <v>1</v>
      </c>
      <c r="H374" s="4">
        <v>0</v>
      </c>
      <c r="I374">
        <v>4</v>
      </c>
      <c r="J374">
        <v>-367</v>
      </c>
      <c r="K374">
        <v>0</v>
      </c>
      <c r="L374">
        <v>0</v>
      </c>
      <c r="M374">
        <v>0</v>
      </c>
      <c r="N374">
        <v>0</v>
      </c>
      <c r="O374" t="str">
        <f t="shared" si="16"/>
        <v>C</v>
      </c>
      <c r="P374" t="str">
        <f t="shared" si="17"/>
        <v>T</v>
      </c>
      <c r="Q374">
        <f>IF(M374=0,0,VLOOKUP(M374,'aa codes'!$A$1:'aa codes'!$B$21,2))</f>
        <v>0</v>
      </c>
      <c r="R374">
        <f>IF(N374=0,0,VLOOKUP(N374,'aa codes'!$A$1:'aa codes'!$B$21,2))</f>
        <v>0</v>
      </c>
      <c r="S374" s="1">
        <v>6.7567567599999996E-3</v>
      </c>
      <c r="T374" s="1">
        <v>0</v>
      </c>
    </row>
    <row r="375" spans="1:20">
      <c r="A375">
        <v>9</v>
      </c>
      <c r="B375">
        <v>135803063</v>
      </c>
      <c r="C375" t="str">
        <f t="shared" si="15"/>
        <v>9:135803063</v>
      </c>
      <c r="D375">
        <v>2</v>
      </c>
      <c r="E375" s="1">
        <v>8.8495575200000006E-3</v>
      </c>
      <c r="F375">
        <v>1</v>
      </c>
      <c r="G375">
        <v>1</v>
      </c>
      <c r="H375" s="4">
        <v>0</v>
      </c>
      <c r="I375">
        <v>4</v>
      </c>
      <c r="J375">
        <v>-372</v>
      </c>
      <c r="K375">
        <v>0</v>
      </c>
      <c r="L375">
        <v>0</v>
      </c>
      <c r="M375">
        <v>0</v>
      </c>
      <c r="N375">
        <v>0</v>
      </c>
      <c r="O375" t="str">
        <f t="shared" si="16"/>
        <v>G</v>
      </c>
      <c r="P375" t="str">
        <f t="shared" si="17"/>
        <v>A</v>
      </c>
      <c r="Q375">
        <f>IF(M375=0,0,VLOOKUP(M375,'aa codes'!$A$1:'aa codes'!$B$21,2))</f>
        <v>0</v>
      </c>
      <c r="R375">
        <f>IF(N375=0,0,VLOOKUP(N375,'aa codes'!$A$1:'aa codes'!$B$21,2))</f>
        <v>0</v>
      </c>
      <c r="S375" s="1">
        <v>0</v>
      </c>
      <c r="T375" s="1">
        <v>8.8495575200000006E-3</v>
      </c>
    </row>
    <row r="376" spans="1:20">
      <c r="A376">
        <v>9</v>
      </c>
      <c r="B376">
        <v>135803067</v>
      </c>
      <c r="C376" t="str">
        <f t="shared" si="15"/>
        <v>9:135803067</v>
      </c>
      <c r="D376">
        <v>3</v>
      </c>
      <c r="E376" s="1">
        <v>6.4935064900000002E-3</v>
      </c>
      <c r="F376">
        <v>4</v>
      </c>
      <c r="G376">
        <v>1</v>
      </c>
      <c r="H376" s="4">
        <v>0</v>
      </c>
      <c r="I376">
        <v>4</v>
      </c>
      <c r="J376">
        <v>-376</v>
      </c>
      <c r="K376">
        <v>0</v>
      </c>
      <c r="L376">
        <v>0</v>
      </c>
      <c r="M376">
        <v>0</v>
      </c>
      <c r="N376">
        <v>0</v>
      </c>
      <c r="O376" t="str">
        <f t="shared" si="16"/>
        <v>C</v>
      </c>
      <c r="P376" t="str">
        <f t="shared" si="17"/>
        <v>T</v>
      </c>
      <c r="Q376">
        <f>IF(M376=0,0,VLOOKUP(M376,'aa codes'!$A$1:'aa codes'!$B$21,2))</f>
        <v>0</v>
      </c>
      <c r="R376">
        <f>IF(N376=0,0,VLOOKUP(N376,'aa codes'!$A$1:'aa codes'!$B$21,2))</f>
        <v>0</v>
      </c>
      <c r="S376" s="1">
        <v>6.4935064900000002E-3</v>
      </c>
      <c r="T376" s="1">
        <v>0</v>
      </c>
    </row>
    <row r="377" spans="1:20">
      <c r="A377">
        <v>9</v>
      </c>
      <c r="B377">
        <v>135803075</v>
      </c>
      <c r="C377" t="str">
        <f t="shared" si="15"/>
        <v>9:135803075</v>
      </c>
      <c r="D377">
        <v>2</v>
      </c>
      <c r="E377" s="1">
        <v>5.9171597600000004E-3</v>
      </c>
      <c r="F377">
        <v>4</v>
      </c>
      <c r="G377">
        <v>1</v>
      </c>
      <c r="H377" s="4">
        <v>0</v>
      </c>
      <c r="I377">
        <v>4</v>
      </c>
      <c r="J377">
        <v>-384</v>
      </c>
      <c r="K377">
        <v>0</v>
      </c>
      <c r="L377">
        <v>0</v>
      </c>
      <c r="M377">
        <v>0</v>
      </c>
      <c r="N377">
        <v>0</v>
      </c>
      <c r="O377" t="str">
        <f t="shared" si="16"/>
        <v>G</v>
      </c>
      <c r="P377" t="str">
        <f t="shared" si="17"/>
        <v>T</v>
      </c>
      <c r="Q377">
        <f>IF(M377=0,0,VLOOKUP(M377,'aa codes'!$A$1:'aa codes'!$B$21,2))</f>
        <v>0</v>
      </c>
      <c r="R377">
        <f>IF(N377=0,0,VLOOKUP(N377,'aa codes'!$A$1:'aa codes'!$B$21,2))</f>
        <v>0</v>
      </c>
      <c r="S377" s="1">
        <v>5.9171597600000004E-3</v>
      </c>
      <c r="T377" s="1">
        <v>0</v>
      </c>
    </row>
    <row r="378" spans="1:20">
      <c r="A378">
        <v>9</v>
      </c>
      <c r="B378">
        <v>135803086</v>
      </c>
      <c r="C378" t="str">
        <f t="shared" si="15"/>
        <v>9:135803086</v>
      </c>
      <c r="D378">
        <v>2</v>
      </c>
      <c r="E378" s="1">
        <v>2.9629629599999999E-2</v>
      </c>
      <c r="F378">
        <v>4</v>
      </c>
      <c r="G378">
        <v>2</v>
      </c>
      <c r="H378" s="4">
        <v>0</v>
      </c>
      <c r="I378">
        <v>4</v>
      </c>
      <c r="J378">
        <v>-395</v>
      </c>
      <c r="K378">
        <v>0</v>
      </c>
      <c r="L378">
        <v>0</v>
      </c>
      <c r="M378">
        <v>0</v>
      </c>
      <c r="N378">
        <v>0</v>
      </c>
      <c r="O378" t="str">
        <f t="shared" si="16"/>
        <v>G</v>
      </c>
      <c r="P378" t="str">
        <f t="shared" si="17"/>
        <v>T</v>
      </c>
      <c r="Q378">
        <f>IF(M378=0,0,VLOOKUP(M378,'aa codes'!$A$1:'aa codes'!$B$21,2))</f>
        <v>0</v>
      </c>
      <c r="R378">
        <f>IF(N378=0,0,VLOOKUP(N378,'aa codes'!$A$1:'aa codes'!$B$21,2))</f>
        <v>0</v>
      </c>
      <c r="S378" s="1">
        <v>5.3475935799999997E-3</v>
      </c>
      <c r="T378" s="1">
        <v>2.9629629599999999E-2</v>
      </c>
    </row>
    <row r="379" spans="1:20">
      <c r="A379">
        <v>9</v>
      </c>
      <c r="B379">
        <v>135803088</v>
      </c>
      <c r="C379" t="str">
        <f t="shared" si="15"/>
        <v>9:135803088</v>
      </c>
      <c r="D379">
        <v>1</v>
      </c>
      <c r="E379" s="1">
        <v>3.0534351099999999E-2</v>
      </c>
      <c r="F379">
        <v>4</v>
      </c>
      <c r="G379">
        <v>2</v>
      </c>
      <c r="H379" s="4">
        <v>0</v>
      </c>
      <c r="I379">
        <v>4</v>
      </c>
      <c r="J379">
        <v>-397</v>
      </c>
      <c r="K379">
        <v>0</v>
      </c>
      <c r="L379">
        <v>0</v>
      </c>
      <c r="M379">
        <v>0</v>
      </c>
      <c r="N379">
        <v>0</v>
      </c>
      <c r="O379" t="str">
        <f t="shared" si="16"/>
        <v>A</v>
      </c>
      <c r="P379" t="str">
        <f t="shared" si="17"/>
        <v>T</v>
      </c>
      <c r="Q379">
        <f>IF(M379=0,0,VLOOKUP(M379,'aa codes'!$A$1:'aa codes'!$B$21,2))</f>
        <v>0</v>
      </c>
      <c r="R379">
        <f>IF(N379=0,0,VLOOKUP(N379,'aa codes'!$A$1:'aa codes'!$B$21,2))</f>
        <v>0</v>
      </c>
      <c r="S379" s="1">
        <v>5.5248618799999998E-3</v>
      </c>
      <c r="T379" s="1">
        <v>3.0534351099999999E-2</v>
      </c>
    </row>
    <row r="380" spans="1:20">
      <c r="A380">
        <v>9</v>
      </c>
      <c r="B380">
        <v>135803094</v>
      </c>
      <c r="C380" t="str">
        <f t="shared" si="15"/>
        <v>9:135803094</v>
      </c>
      <c r="D380">
        <v>1</v>
      </c>
      <c r="E380" s="1">
        <v>2.89855072E-2</v>
      </c>
      <c r="F380">
        <v>4</v>
      </c>
      <c r="G380">
        <v>2</v>
      </c>
      <c r="H380" s="4">
        <v>0</v>
      </c>
      <c r="I380">
        <v>4</v>
      </c>
      <c r="J380">
        <v>-403</v>
      </c>
      <c r="K380">
        <v>0</v>
      </c>
      <c r="L380">
        <v>0</v>
      </c>
      <c r="M380">
        <v>0</v>
      </c>
      <c r="N380">
        <v>0</v>
      </c>
      <c r="O380" t="str">
        <f t="shared" si="16"/>
        <v>A</v>
      </c>
      <c r="P380" t="str">
        <f t="shared" si="17"/>
        <v>T</v>
      </c>
      <c r="Q380">
        <f>IF(M380=0,0,VLOOKUP(M380,'aa codes'!$A$1:'aa codes'!$B$21,2))</f>
        <v>0</v>
      </c>
      <c r="R380">
        <f>IF(N380=0,0,VLOOKUP(N380,'aa codes'!$A$1:'aa codes'!$B$21,2))</f>
        <v>0</v>
      </c>
      <c r="S380" s="1">
        <v>5.3191489399999998E-3</v>
      </c>
      <c r="T380" s="1">
        <v>2.89855072E-2</v>
      </c>
    </row>
    <row r="381" spans="1:20">
      <c r="A381">
        <v>9</v>
      </c>
      <c r="B381">
        <v>135803095</v>
      </c>
      <c r="C381" t="str">
        <f t="shared" si="15"/>
        <v>9:135803095</v>
      </c>
      <c r="D381">
        <v>3</v>
      </c>
      <c r="E381" s="1">
        <v>2.83687943E-2</v>
      </c>
      <c r="F381">
        <v>4</v>
      </c>
      <c r="G381">
        <v>2</v>
      </c>
      <c r="H381" s="4">
        <v>0</v>
      </c>
      <c r="I381">
        <v>4</v>
      </c>
      <c r="J381">
        <v>-404</v>
      </c>
      <c r="K381">
        <v>0</v>
      </c>
      <c r="L381">
        <v>0</v>
      </c>
      <c r="M381">
        <v>0</v>
      </c>
      <c r="N381">
        <v>0</v>
      </c>
      <c r="O381" t="str">
        <f t="shared" si="16"/>
        <v>C</v>
      </c>
      <c r="P381" t="str">
        <f t="shared" si="17"/>
        <v>T</v>
      </c>
      <c r="Q381">
        <f>IF(M381=0,0,VLOOKUP(M381,'aa codes'!$A$1:'aa codes'!$B$21,2))</f>
        <v>0</v>
      </c>
      <c r="R381">
        <f>IF(N381=0,0,VLOOKUP(N381,'aa codes'!$A$1:'aa codes'!$B$21,2))</f>
        <v>0</v>
      </c>
      <c r="S381" s="1">
        <v>5.07614213E-3</v>
      </c>
      <c r="T381" s="1">
        <v>2.83687943E-2</v>
      </c>
    </row>
    <row r="382" spans="1:20">
      <c r="A382">
        <v>9</v>
      </c>
      <c r="B382">
        <v>135803097</v>
      </c>
      <c r="C382" t="str">
        <f t="shared" si="15"/>
        <v>9:135803097</v>
      </c>
      <c r="D382">
        <v>1</v>
      </c>
      <c r="E382" s="1">
        <v>2.8169014100000001E-2</v>
      </c>
      <c r="F382">
        <v>4</v>
      </c>
      <c r="G382">
        <v>1</v>
      </c>
      <c r="H382" s="4">
        <v>0</v>
      </c>
      <c r="I382">
        <v>4</v>
      </c>
      <c r="J382">
        <v>-406</v>
      </c>
      <c r="K382">
        <v>0</v>
      </c>
      <c r="L382">
        <v>0</v>
      </c>
      <c r="M382">
        <v>0</v>
      </c>
      <c r="N382">
        <v>0</v>
      </c>
      <c r="O382" t="str">
        <f t="shared" si="16"/>
        <v>A</v>
      </c>
      <c r="P382" t="str">
        <f t="shared" si="17"/>
        <v>T</v>
      </c>
      <c r="Q382">
        <f>IF(M382=0,0,VLOOKUP(M382,'aa codes'!$A$1:'aa codes'!$B$21,2))</f>
        <v>0</v>
      </c>
      <c r="R382">
        <f>IF(N382=0,0,VLOOKUP(N382,'aa codes'!$A$1:'aa codes'!$B$21,2))</f>
        <v>0</v>
      </c>
      <c r="S382" s="1">
        <v>4.9504950499999999E-3</v>
      </c>
      <c r="T382" s="1">
        <v>2.8169014100000001E-2</v>
      </c>
    </row>
    <row r="383" spans="1:20">
      <c r="A383">
        <v>9</v>
      </c>
      <c r="B383">
        <v>135803098</v>
      </c>
      <c r="C383" t="str">
        <f t="shared" si="15"/>
        <v>9:135803098</v>
      </c>
      <c r="D383">
        <v>2</v>
      </c>
      <c r="E383" s="1">
        <v>7.4074074099999996E-3</v>
      </c>
      <c r="F383">
        <v>4</v>
      </c>
      <c r="G383">
        <v>1</v>
      </c>
      <c r="H383" s="4">
        <v>0</v>
      </c>
      <c r="I383">
        <v>4</v>
      </c>
      <c r="J383">
        <v>-407</v>
      </c>
      <c r="K383">
        <v>0</v>
      </c>
      <c r="L383">
        <v>0</v>
      </c>
      <c r="M383">
        <v>0</v>
      </c>
      <c r="N383">
        <v>0</v>
      </c>
      <c r="O383" t="str">
        <f t="shared" si="16"/>
        <v>G</v>
      </c>
      <c r="P383" t="str">
        <f t="shared" si="17"/>
        <v>T</v>
      </c>
      <c r="Q383">
        <f>IF(M383=0,0,VLOOKUP(M383,'aa codes'!$A$1:'aa codes'!$B$21,2))</f>
        <v>0</v>
      </c>
      <c r="R383">
        <f>IF(N383=0,0,VLOOKUP(N383,'aa codes'!$A$1:'aa codes'!$B$21,2))</f>
        <v>0</v>
      </c>
      <c r="S383" s="1">
        <v>0</v>
      </c>
      <c r="T383" s="1">
        <v>7.4074074099999996E-3</v>
      </c>
    </row>
    <row r="384" spans="1:20">
      <c r="A384">
        <v>9</v>
      </c>
      <c r="B384">
        <v>135803106</v>
      </c>
      <c r="C384" t="str">
        <f t="shared" si="15"/>
        <v>9:135803106</v>
      </c>
      <c r="D384">
        <v>2</v>
      </c>
      <c r="E384" s="1">
        <v>7.75193798E-3</v>
      </c>
      <c r="F384">
        <v>1</v>
      </c>
      <c r="G384">
        <v>1</v>
      </c>
      <c r="H384" s="4">
        <v>0</v>
      </c>
      <c r="I384">
        <v>4</v>
      </c>
      <c r="J384">
        <v>-415</v>
      </c>
      <c r="K384">
        <v>0</v>
      </c>
      <c r="L384">
        <v>0</v>
      </c>
      <c r="M384">
        <v>0</v>
      </c>
      <c r="N384">
        <v>0</v>
      </c>
      <c r="O384" t="str">
        <f t="shared" si="16"/>
        <v>G</v>
      </c>
      <c r="P384" t="str">
        <f t="shared" si="17"/>
        <v>A</v>
      </c>
      <c r="Q384">
        <f>IF(M384=0,0,VLOOKUP(M384,'aa codes'!$A$1:'aa codes'!$B$21,2))</f>
        <v>0</v>
      </c>
      <c r="R384">
        <f>IF(N384=0,0,VLOOKUP(N384,'aa codes'!$A$1:'aa codes'!$B$21,2))</f>
        <v>0</v>
      </c>
      <c r="S384" s="1">
        <v>0</v>
      </c>
      <c r="T384" s="1">
        <v>7.75193798E-3</v>
      </c>
    </row>
    <row r="385" spans="1:20">
      <c r="A385">
        <v>9</v>
      </c>
      <c r="B385">
        <v>135803108</v>
      </c>
      <c r="C385" t="str">
        <f t="shared" si="15"/>
        <v>9:135803108</v>
      </c>
      <c r="D385">
        <v>4</v>
      </c>
      <c r="E385" s="1">
        <v>3.0075187999999999E-2</v>
      </c>
      <c r="F385">
        <v>3</v>
      </c>
      <c r="G385">
        <v>1</v>
      </c>
      <c r="H385" s="4">
        <v>0</v>
      </c>
      <c r="I385">
        <v>4</v>
      </c>
      <c r="J385">
        <v>-417</v>
      </c>
      <c r="K385">
        <v>0</v>
      </c>
      <c r="L385">
        <v>0</v>
      </c>
      <c r="M385">
        <v>0</v>
      </c>
      <c r="N385">
        <v>0</v>
      </c>
      <c r="O385" t="str">
        <f t="shared" si="16"/>
        <v>T</v>
      </c>
      <c r="P385" t="str">
        <f t="shared" si="17"/>
        <v>C</v>
      </c>
      <c r="Q385">
        <f>IF(M385=0,0,VLOOKUP(M385,'aa codes'!$A$1:'aa codes'!$B$21,2))</f>
        <v>0</v>
      </c>
      <c r="R385">
        <f>IF(N385=0,0,VLOOKUP(N385,'aa codes'!$A$1:'aa codes'!$B$21,2))</f>
        <v>0</v>
      </c>
      <c r="S385" s="1">
        <v>0</v>
      </c>
      <c r="T385" s="1">
        <v>3.0075187999999999E-2</v>
      </c>
    </row>
    <row r="386" spans="1:20">
      <c r="A386">
        <v>9</v>
      </c>
      <c r="B386">
        <v>135803159</v>
      </c>
      <c r="C386" t="str">
        <f t="shared" si="15"/>
        <v>9:135803159</v>
      </c>
      <c r="D386">
        <v>2</v>
      </c>
      <c r="E386" s="1">
        <v>5.3191489399999998E-3</v>
      </c>
      <c r="F386">
        <v>1</v>
      </c>
      <c r="G386">
        <v>1</v>
      </c>
      <c r="H386" s="4">
        <v>6.4900000000000005E-5</v>
      </c>
      <c r="I386">
        <v>4</v>
      </c>
      <c r="J386">
        <v>-468</v>
      </c>
      <c r="K386">
        <v>0</v>
      </c>
      <c r="L386">
        <v>0</v>
      </c>
      <c r="M386">
        <v>0</v>
      </c>
      <c r="N386">
        <v>0</v>
      </c>
      <c r="O386" t="str">
        <f t="shared" si="16"/>
        <v>G</v>
      </c>
      <c r="P386" t="str">
        <f t="shared" si="17"/>
        <v>A</v>
      </c>
      <c r="Q386">
        <f>IF(M386=0,0,VLOOKUP(M386,'aa codes'!$A$1:'aa codes'!$B$21,2))</f>
        <v>0</v>
      </c>
      <c r="R386">
        <f>IF(N386=0,0,VLOOKUP(N386,'aa codes'!$A$1:'aa codes'!$B$21,2))</f>
        <v>0</v>
      </c>
      <c r="S386" s="1">
        <v>5.3191489399999998E-3</v>
      </c>
      <c r="T386" s="1">
        <v>0</v>
      </c>
    </row>
    <row r="387" spans="1:20">
      <c r="A387">
        <v>9</v>
      </c>
      <c r="B387">
        <v>135803164</v>
      </c>
      <c r="C387" t="str">
        <f t="shared" ref="C387:C450" si="18">A387&amp;":"&amp;B387</f>
        <v>9:135803164</v>
      </c>
      <c r="D387">
        <v>2</v>
      </c>
      <c r="E387" s="1">
        <v>5.1282051299999997E-3</v>
      </c>
      <c r="F387">
        <v>1</v>
      </c>
      <c r="G387">
        <v>1</v>
      </c>
      <c r="H387" s="4">
        <v>3.2400000000000001E-5</v>
      </c>
      <c r="I387">
        <v>4</v>
      </c>
      <c r="J387">
        <v>-473</v>
      </c>
      <c r="K387">
        <v>0</v>
      </c>
      <c r="L387">
        <v>0</v>
      </c>
      <c r="M387">
        <v>0</v>
      </c>
      <c r="N387">
        <v>0</v>
      </c>
      <c r="O387" t="str">
        <f t="shared" ref="O387:O450" si="19">IF(D387=1,"A",IF(D387=2,"G",IF(D387=3,"C",IF(D387=4,"T","2NT"))))</f>
        <v>G</v>
      </c>
      <c r="P387" t="str">
        <f t="shared" ref="P387:P450" si="20">IF(F387=1,"A",IF(F387=2,"G",IF(F387=3,"C",IF(F387=4,"T","2NT"))))</f>
        <v>A</v>
      </c>
      <c r="Q387">
        <f>IF(M387=0,0,VLOOKUP(M387,'aa codes'!$A$1:'aa codes'!$B$21,2))</f>
        <v>0</v>
      </c>
      <c r="R387">
        <f>IF(N387=0,0,VLOOKUP(N387,'aa codes'!$A$1:'aa codes'!$B$21,2))</f>
        <v>0</v>
      </c>
      <c r="S387" s="1">
        <v>5.1282051299999997E-3</v>
      </c>
      <c r="T387" s="1">
        <v>0</v>
      </c>
    </row>
    <row r="388" spans="1:20">
      <c r="A388">
        <v>9</v>
      </c>
      <c r="B388">
        <v>135804735</v>
      </c>
      <c r="C388" t="str">
        <f t="shared" si="18"/>
        <v>9:135804735</v>
      </c>
      <c r="D388">
        <v>4</v>
      </c>
      <c r="E388" s="1">
        <v>0.52764761000000004</v>
      </c>
      <c r="F388">
        <v>3</v>
      </c>
      <c r="G388">
        <v>2</v>
      </c>
      <c r="H388" s="4">
        <v>0.4133</v>
      </c>
      <c r="I388">
        <v>3</v>
      </c>
      <c r="J388">
        <v>-396</v>
      </c>
      <c r="K388">
        <v>0</v>
      </c>
      <c r="L388">
        <v>0</v>
      </c>
      <c r="M388">
        <v>0</v>
      </c>
      <c r="N388">
        <v>0</v>
      </c>
      <c r="O388" t="str">
        <f t="shared" si="19"/>
        <v>T</v>
      </c>
      <c r="P388" t="str">
        <f t="shared" si="20"/>
        <v>C</v>
      </c>
      <c r="Q388">
        <f>IF(M388=0,0,VLOOKUP(M388,'aa codes'!$A$1:'aa codes'!$B$21,2))</f>
        <v>0</v>
      </c>
      <c r="R388">
        <f>IF(N388=0,0,VLOOKUP(N388,'aa codes'!$A$1:'aa codes'!$B$21,2))</f>
        <v>0</v>
      </c>
      <c r="S388" s="1">
        <v>0.52764761000000004</v>
      </c>
      <c r="T388" s="1">
        <v>0.52677279300000002</v>
      </c>
    </row>
    <row r="389" spans="1:20">
      <c r="A389">
        <v>9</v>
      </c>
      <c r="B389">
        <v>135805796</v>
      </c>
      <c r="C389" t="str">
        <f t="shared" si="18"/>
        <v>9:135805796</v>
      </c>
      <c r="D389">
        <v>4</v>
      </c>
      <c r="E389" s="1">
        <v>5.26315789E-3</v>
      </c>
      <c r="F389">
        <v>3</v>
      </c>
      <c r="G389">
        <v>1</v>
      </c>
      <c r="H389" s="4">
        <v>0</v>
      </c>
      <c r="I389">
        <v>3</v>
      </c>
      <c r="J389">
        <v>-1457</v>
      </c>
      <c r="K389">
        <v>0</v>
      </c>
      <c r="L389">
        <v>0</v>
      </c>
      <c r="M389">
        <v>0</v>
      </c>
      <c r="N389">
        <v>0</v>
      </c>
      <c r="O389" t="str">
        <f t="shared" si="19"/>
        <v>T</v>
      </c>
      <c r="P389" t="str">
        <f t="shared" si="20"/>
        <v>C</v>
      </c>
      <c r="Q389">
        <f>IF(M389=0,0,VLOOKUP(M389,'aa codes'!$A$1:'aa codes'!$B$21,2))</f>
        <v>0</v>
      </c>
      <c r="R389">
        <f>IF(N389=0,0,VLOOKUP(N389,'aa codes'!$A$1:'aa codes'!$B$21,2))</f>
        <v>0</v>
      </c>
      <c r="S389" s="1">
        <v>0</v>
      </c>
      <c r="T389" s="1">
        <v>5.26315789E-3</v>
      </c>
    </row>
    <row r="390" spans="1:20">
      <c r="A390">
        <v>9</v>
      </c>
      <c r="B390">
        <v>135805802</v>
      </c>
      <c r="C390" t="str">
        <f t="shared" si="18"/>
        <v>9:135805802</v>
      </c>
      <c r="D390">
        <v>3</v>
      </c>
      <c r="E390" s="1">
        <v>5.7471264399999999E-3</v>
      </c>
      <c r="F390">
        <v>2</v>
      </c>
      <c r="G390">
        <v>1</v>
      </c>
      <c r="H390" s="4">
        <v>0</v>
      </c>
      <c r="I390">
        <v>3</v>
      </c>
      <c r="J390">
        <v>-1463</v>
      </c>
      <c r="K390">
        <v>0</v>
      </c>
      <c r="L390">
        <v>0</v>
      </c>
      <c r="M390">
        <v>0</v>
      </c>
      <c r="N390">
        <v>0</v>
      </c>
      <c r="O390" t="str">
        <f t="shared" si="19"/>
        <v>C</v>
      </c>
      <c r="P390" t="str">
        <f t="shared" si="20"/>
        <v>G</v>
      </c>
      <c r="Q390">
        <f>IF(M390=0,0,VLOOKUP(M390,'aa codes'!$A$1:'aa codes'!$B$21,2))</f>
        <v>0</v>
      </c>
      <c r="R390">
        <f>IF(N390=0,0,VLOOKUP(N390,'aa codes'!$A$1:'aa codes'!$B$21,2))</f>
        <v>0</v>
      </c>
      <c r="S390" s="1">
        <v>0</v>
      </c>
      <c r="T390" s="1">
        <v>5.7471264399999999E-3</v>
      </c>
    </row>
    <row r="391" spans="1:20">
      <c r="A391">
        <v>9</v>
      </c>
      <c r="B391">
        <v>135805805</v>
      </c>
      <c r="C391" t="str">
        <f t="shared" si="18"/>
        <v>9:135805805</v>
      </c>
      <c r="D391">
        <v>2</v>
      </c>
      <c r="E391" s="1">
        <v>1.14942529E-2</v>
      </c>
      <c r="F391">
        <v>4</v>
      </c>
      <c r="G391">
        <v>1</v>
      </c>
      <c r="H391" s="4">
        <v>0</v>
      </c>
      <c r="I391">
        <v>3</v>
      </c>
      <c r="J391">
        <v>-1466</v>
      </c>
      <c r="K391">
        <v>0</v>
      </c>
      <c r="L391">
        <v>0</v>
      </c>
      <c r="M391">
        <v>0</v>
      </c>
      <c r="N391">
        <v>0</v>
      </c>
      <c r="O391" t="str">
        <f t="shared" si="19"/>
        <v>G</v>
      </c>
      <c r="P391" t="str">
        <f t="shared" si="20"/>
        <v>T</v>
      </c>
      <c r="Q391">
        <f>IF(M391=0,0,VLOOKUP(M391,'aa codes'!$A$1:'aa codes'!$B$21,2))</f>
        <v>0</v>
      </c>
      <c r="R391">
        <f>IF(N391=0,0,VLOOKUP(N391,'aa codes'!$A$1:'aa codes'!$B$21,2))</f>
        <v>0</v>
      </c>
      <c r="S391" s="1">
        <v>2.6595744699999999E-3</v>
      </c>
      <c r="T391" s="1">
        <v>1.14942529E-2</v>
      </c>
    </row>
    <row r="392" spans="1:20">
      <c r="A392">
        <v>9</v>
      </c>
      <c r="B392">
        <v>135805810</v>
      </c>
      <c r="C392" t="str">
        <f t="shared" si="18"/>
        <v>9:135805810</v>
      </c>
      <c r="D392">
        <v>4</v>
      </c>
      <c r="E392" s="1">
        <v>5.7803468199999998E-3</v>
      </c>
      <c r="F392">
        <v>2</v>
      </c>
      <c r="G392">
        <v>1</v>
      </c>
      <c r="H392" s="4">
        <v>0</v>
      </c>
      <c r="I392">
        <v>3</v>
      </c>
      <c r="J392">
        <v>-1471</v>
      </c>
      <c r="K392">
        <v>0</v>
      </c>
      <c r="L392">
        <v>0</v>
      </c>
      <c r="M392">
        <v>0</v>
      </c>
      <c r="N392">
        <v>0</v>
      </c>
      <c r="O392" t="str">
        <f t="shared" si="19"/>
        <v>T</v>
      </c>
      <c r="P392" t="str">
        <f t="shared" si="20"/>
        <v>G</v>
      </c>
      <c r="Q392">
        <f>IF(M392=0,0,VLOOKUP(M392,'aa codes'!$A$1:'aa codes'!$B$21,2))</f>
        <v>0</v>
      </c>
      <c r="R392">
        <f>IF(N392=0,0,VLOOKUP(N392,'aa codes'!$A$1:'aa codes'!$B$21,2))</f>
        <v>0</v>
      </c>
      <c r="S392" s="1">
        <v>0</v>
      </c>
      <c r="T392" s="1">
        <v>5.7803468199999998E-3</v>
      </c>
    </row>
    <row r="393" spans="1:20">
      <c r="A393">
        <v>9</v>
      </c>
      <c r="B393">
        <v>135805813</v>
      </c>
      <c r="C393" t="str">
        <f t="shared" si="18"/>
        <v>9:135805813</v>
      </c>
      <c r="D393">
        <v>4</v>
      </c>
      <c r="E393" s="1">
        <v>5.7142857100000001E-3</v>
      </c>
      <c r="F393">
        <v>1</v>
      </c>
      <c r="G393">
        <v>1</v>
      </c>
      <c r="H393" s="4">
        <v>0</v>
      </c>
      <c r="I393">
        <v>3</v>
      </c>
      <c r="J393">
        <v>-1474</v>
      </c>
      <c r="K393">
        <v>0</v>
      </c>
      <c r="L393">
        <v>0</v>
      </c>
      <c r="M393">
        <v>0</v>
      </c>
      <c r="N393">
        <v>0</v>
      </c>
      <c r="O393" t="str">
        <f t="shared" si="19"/>
        <v>T</v>
      </c>
      <c r="P393" t="str">
        <f t="shared" si="20"/>
        <v>A</v>
      </c>
      <c r="Q393">
        <f>IF(M393=0,0,VLOOKUP(M393,'aa codes'!$A$1:'aa codes'!$B$21,2))</f>
        <v>0</v>
      </c>
      <c r="R393">
        <f>IF(N393=0,0,VLOOKUP(N393,'aa codes'!$A$1:'aa codes'!$B$21,2))</f>
        <v>0</v>
      </c>
      <c r="S393" s="1">
        <v>0</v>
      </c>
      <c r="T393" s="1">
        <v>5.7142857100000001E-3</v>
      </c>
    </row>
    <row r="394" spans="1:20">
      <c r="A394">
        <v>9</v>
      </c>
      <c r="B394">
        <v>135805815</v>
      </c>
      <c r="C394" t="str">
        <f t="shared" si="18"/>
        <v>9:135805815</v>
      </c>
      <c r="D394">
        <v>1</v>
      </c>
      <c r="E394" s="1">
        <v>5.6179775300000002E-3</v>
      </c>
      <c r="F394">
        <v>2</v>
      </c>
      <c r="G394">
        <v>1</v>
      </c>
      <c r="H394" s="4">
        <v>0</v>
      </c>
      <c r="I394">
        <v>3</v>
      </c>
      <c r="J394">
        <v>-1476</v>
      </c>
      <c r="K394">
        <v>0</v>
      </c>
      <c r="L394">
        <v>0</v>
      </c>
      <c r="M394">
        <v>0</v>
      </c>
      <c r="N394">
        <v>0</v>
      </c>
      <c r="O394" t="str">
        <f t="shared" si="19"/>
        <v>A</v>
      </c>
      <c r="P394" t="str">
        <f t="shared" si="20"/>
        <v>G</v>
      </c>
      <c r="Q394">
        <f>IF(M394=0,0,VLOOKUP(M394,'aa codes'!$A$1:'aa codes'!$B$21,2))</f>
        <v>0</v>
      </c>
      <c r="R394">
        <f>IF(N394=0,0,VLOOKUP(N394,'aa codes'!$A$1:'aa codes'!$B$21,2))</f>
        <v>0</v>
      </c>
      <c r="S394" s="1">
        <v>0</v>
      </c>
      <c r="T394" s="1">
        <v>5.6179775300000002E-3</v>
      </c>
    </row>
    <row r="395" spans="1:20">
      <c r="A395">
        <v>9</v>
      </c>
      <c r="B395">
        <v>135805843</v>
      </c>
      <c r="C395" t="str">
        <f t="shared" si="18"/>
        <v>9:135805843</v>
      </c>
      <c r="D395">
        <v>3</v>
      </c>
      <c r="E395" s="1">
        <v>7.6923076899999996E-3</v>
      </c>
      <c r="F395">
        <v>4</v>
      </c>
      <c r="G395">
        <v>2</v>
      </c>
      <c r="H395" s="4">
        <v>3.2499999999999997E-5</v>
      </c>
      <c r="I395">
        <v>3</v>
      </c>
      <c r="J395">
        <v>-1504</v>
      </c>
      <c r="K395">
        <v>0</v>
      </c>
      <c r="L395">
        <v>0</v>
      </c>
      <c r="M395">
        <v>0</v>
      </c>
      <c r="N395">
        <v>0</v>
      </c>
      <c r="O395" t="str">
        <f t="shared" si="19"/>
        <v>C</v>
      </c>
      <c r="P395" t="str">
        <f t="shared" si="20"/>
        <v>T</v>
      </c>
      <c r="Q395">
        <f>IF(M395=0,0,VLOOKUP(M395,'aa codes'!$A$1:'aa codes'!$B$21,2))</f>
        <v>0</v>
      </c>
      <c r="R395">
        <f>IF(N395=0,0,VLOOKUP(N395,'aa codes'!$A$1:'aa codes'!$B$21,2))</f>
        <v>0</v>
      </c>
      <c r="S395" s="1">
        <v>7.6923076899999996E-3</v>
      </c>
      <c r="T395" s="1">
        <v>6.9930069899999999E-3</v>
      </c>
    </row>
    <row r="396" spans="1:20">
      <c r="A396">
        <v>9</v>
      </c>
      <c r="B396">
        <v>135805844</v>
      </c>
      <c r="C396" t="str">
        <f t="shared" si="18"/>
        <v>9:135805844</v>
      </c>
      <c r="D396">
        <v>2</v>
      </c>
      <c r="E396" s="1">
        <v>7.0422535199999997E-3</v>
      </c>
      <c r="F396">
        <v>1</v>
      </c>
      <c r="G396">
        <v>1</v>
      </c>
      <c r="H396" s="4">
        <v>0</v>
      </c>
      <c r="I396">
        <v>3</v>
      </c>
      <c r="J396">
        <v>-1505</v>
      </c>
      <c r="K396">
        <v>0</v>
      </c>
      <c r="L396">
        <v>0</v>
      </c>
      <c r="M396">
        <v>0</v>
      </c>
      <c r="N396">
        <v>0</v>
      </c>
      <c r="O396" t="str">
        <f t="shared" si="19"/>
        <v>G</v>
      </c>
      <c r="P396" t="str">
        <f t="shared" si="20"/>
        <v>A</v>
      </c>
      <c r="Q396">
        <f>IF(M396=0,0,VLOOKUP(M396,'aa codes'!$A$1:'aa codes'!$B$21,2))</f>
        <v>0</v>
      </c>
      <c r="R396">
        <f>IF(N396=0,0,VLOOKUP(N396,'aa codes'!$A$1:'aa codes'!$B$21,2))</f>
        <v>0</v>
      </c>
      <c r="S396" s="1">
        <v>0</v>
      </c>
      <c r="T396" s="1">
        <v>7.0422535199999997E-3</v>
      </c>
    </row>
    <row r="397" spans="1:20">
      <c r="A397">
        <v>9</v>
      </c>
      <c r="B397">
        <v>135805853</v>
      </c>
      <c r="C397" t="str">
        <f t="shared" si="18"/>
        <v>9:135805853</v>
      </c>
      <c r="D397">
        <v>4</v>
      </c>
      <c r="E397" s="1">
        <v>6.7567567599999996E-3</v>
      </c>
      <c r="F397">
        <v>3</v>
      </c>
      <c r="G397">
        <v>1</v>
      </c>
      <c r="H397" s="4">
        <v>0</v>
      </c>
      <c r="I397">
        <v>3</v>
      </c>
      <c r="J397">
        <v>-1514</v>
      </c>
      <c r="K397">
        <v>0</v>
      </c>
      <c r="L397">
        <v>0</v>
      </c>
      <c r="M397">
        <v>0</v>
      </c>
      <c r="N397">
        <v>0</v>
      </c>
      <c r="O397" t="str">
        <f t="shared" si="19"/>
        <v>T</v>
      </c>
      <c r="P397" t="str">
        <f t="shared" si="20"/>
        <v>C</v>
      </c>
      <c r="Q397">
        <f>IF(M397=0,0,VLOOKUP(M397,'aa codes'!$A$1:'aa codes'!$B$21,2))</f>
        <v>0</v>
      </c>
      <c r="R397">
        <f>IF(N397=0,0,VLOOKUP(N397,'aa codes'!$A$1:'aa codes'!$B$21,2))</f>
        <v>0</v>
      </c>
      <c r="S397" s="1">
        <v>0</v>
      </c>
      <c r="T397" s="1">
        <v>6.7567567599999996E-3</v>
      </c>
    </row>
    <row r="398" spans="1:20">
      <c r="A398">
        <v>9</v>
      </c>
      <c r="B398">
        <v>135805875</v>
      </c>
      <c r="C398" t="str">
        <f t="shared" si="18"/>
        <v>9:135805875</v>
      </c>
      <c r="D398">
        <v>4</v>
      </c>
      <c r="E398" s="1">
        <v>7.75193798E-3</v>
      </c>
      <c r="F398">
        <v>3</v>
      </c>
      <c r="G398">
        <v>1</v>
      </c>
      <c r="H398" s="4">
        <v>0</v>
      </c>
      <c r="I398">
        <v>3</v>
      </c>
      <c r="J398">
        <v>-1536</v>
      </c>
      <c r="K398">
        <v>0</v>
      </c>
      <c r="L398">
        <v>0</v>
      </c>
      <c r="M398">
        <v>0</v>
      </c>
      <c r="N398">
        <v>0</v>
      </c>
      <c r="O398" t="str">
        <f t="shared" si="19"/>
        <v>T</v>
      </c>
      <c r="P398" t="str">
        <f t="shared" si="20"/>
        <v>C</v>
      </c>
      <c r="Q398">
        <f>IF(M398=0,0,VLOOKUP(M398,'aa codes'!$A$1:'aa codes'!$B$21,2))</f>
        <v>0</v>
      </c>
      <c r="R398">
        <f>IF(N398=0,0,VLOOKUP(N398,'aa codes'!$A$1:'aa codes'!$B$21,2))</f>
        <v>0</v>
      </c>
      <c r="S398" s="1">
        <v>0</v>
      </c>
      <c r="T398" s="1">
        <v>7.75193798E-3</v>
      </c>
    </row>
    <row r="399" spans="1:20">
      <c r="A399">
        <v>9</v>
      </c>
      <c r="B399">
        <v>135805912</v>
      </c>
      <c r="C399" t="str">
        <f t="shared" si="18"/>
        <v>9:135805912</v>
      </c>
      <c r="D399">
        <v>4</v>
      </c>
      <c r="E399" s="1">
        <v>5.0000000000000001E-3</v>
      </c>
      <c r="F399">
        <v>3</v>
      </c>
      <c r="G399">
        <v>1</v>
      </c>
      <c r="H399" s="4">
        <v>0</v>
      </c>
      <c r="I399">
        <v>3</v>
      </c>
      <c r="J399">
        <v>-1573</v>
      </c>
      <c r="K399">
        <v>0</v>
      </c>
      <c r="L399">
        <v>0</v>
      </c>
      <c r="M399">
        <v>0</v>
      </c>
      <c r="N399">
        <v>0</v>
      </c>
      <c r="O399" t="str">
        <f t="shared" si="19"/>
        <v>T</v>
      </c>
      <c r="P399" t="str">
        <f t="shared" si="20"/>
        <v>C</v>
      </c>
      <c r="Q399">
        <f>IF(M399=0,0,VLOOKUP(M399,'aa codes'!$A$1:'aa codes'!$B$21,2))</f>
        <v>0</v>
      </c>
      <c r="R399">
        <f>IF(N399=0,0,VLOOKUP(N399,'aa codes'!$A$1:'aa codes'!$B$21,2))</f>
        <v>0</v>
      </c>
      <c r="S399" s="1">
        <v>5.0000000000000001E-3</v>
      </c>
      <c r="T399" s="1">
        <v>0</v>
      </c>
    </row>
    <row r="400" spans="1:20">
      <c r="A400">
        <v>9</v>
      </c>
      <c r="B400">
        <v>135805922</v>
      </c>
      <c r="C400" t="str">
        <f t="shared" si="18"/>
        <v>9:135805922</v>
      </c>
      <c r="D400">
        <v>4</v>
      </c>
      <c r="E400" s="1">
        <v>1.05820106E-2</v>
      </c>
      <c r="F400">
        <v>1</v>
      </c>
      <c r="G400">
        <v>2</v>
      </c>
      <c r="H400" s="4">
        <v>0</v>
      </c>
      <c r="I400">
        <v>3</v>
      </c>
      <c r="J400">
        <v>-1583</v>
      </c>
      <c r="K400">
        <v>0</v>
      </c>
      <c r="L400">
        <v>0</v>
      </c>
      <c r="M400">
        <v>0</v>
      </c>
      <c r="N400">
        <v>0</v>
      </c>
      <c r="O400" t="str">
        <f t="shared" si="19"/>
        <v>T</v>
      </c>
      <c r="P400" t="str">
        <f t="shared" si="20"/>
        <v>A</v>
      </c>
      <c r="Q400">
        <f>IF(M400=0,0,VLOOKUP(M400,'aa codes'!$A$1:'aa codes'!$B$21,2))</f>
        <v>0</v>
      </c>
      <c r="R400">
        <f>IF(N400=0,0,VLOOKUP(N400,'aa codes'!$A$1:'aa codes'!$B$21,2))</f>
        <v>0</v>
      </c>
      <c r="S400" s="1">
        <v>1.05820106E-2</v>
      </c>
      <c r="T400" s="1">
        <v>7.8740157499999994E-3</v>
      </c>
    </row>
    <row r="401" spans="1:20">
      <c r="A401">
        <v>9</v>
      </c>
      <c r="B401">
        <v>135805923</v>
      </c>
      <c r="C401" t="str">
        <f t="shared" si="18"/>
        <v>9:135805923</v>
      </c>
      <c r="D401">
        <v>3</v>
      </c>
      <c r="E401" s="1">
        <v>7.4626865699999999E-3</v>
      </c>
      <c r="F401">
        <v>4</v>
      </c>
      <c r="G401">
        <v>1</v>
      </c>
      <c r="H401" s="4">
        <v>0</v>
      </c>
      <c r="I401">
        <v>3</v>
      </c>
      <c r="J401">
        <v>-1584</v>
      </c>
      <c r="K401">
        <v>0</v>
      </c>
      <c r="L401">
        <v>0</v>
      </c>
      <c r="M401">
        <v>0</v>
      </c>
      <c r="N401">
        <v>0</v>
      </c>
      <c r="O401" t="str">
        <f t="shared" si="19"/>
        <v>C</v>
      </c>
      <c r="P401" t="str">
        <f t="shared" si="20"/>
        <v>T</v>
      </c>
      <c r="Q401">
        <f>IF(M401=0,0,VLOOKUP(M401,'aa codes'!$A$1:'aa codes'!$B$21,2))</f>
        <v>0</v>
      </c>
      <c r="R401">
        <f>IF(N401=0,0,VLOOKUP(N401,'aa codes'!$A$1:'aa codes'!$B$21,2))</f>
        <v>0</v>
      </c>
      <c r="S401" s="1">
        <v>0</v>
      </c>
      <c r="T401" s="1">
        <v>7.4626865699999999E-3</v>
      </c>
    </row>
    <row r="402" spans="1:20">
      <c r="A402">
        <v>9</v>
      </c>
      <c r="B402">
        <v>135805927</v>
      </c>
      <c r="C402" t="str">
        <f t="shared" si="18"/>
        <v>9:135805927</v>
      </c>
      <c r="D402">
        <v>2</v>
      </c>
      <c r="E402" s="1">
        <v>1.51515152E-2</v>
      </c>
      <c r="F402">
        <v>1</v>
      </c>
      <c r="G402">
        <v>1</v>
      </c>
      <c r="H402" s="4">
        <v>0</v>
      </c>
      <c r="I402">
        <v>3</v>
      </c>
      <c r="J402">
        <v>-1588</v>
      </c>
      <c r="K402">
        <v>0</v>
      </c>
      <c r="L402">
        <v>0</v>
      </c>
      <c r="M402">
        <v>0</v>
      </c>
      <c r="N402">
        <v>0</v>
      </c>
      <c r="O402" t="str">
        <f t="shared" si="19"/>
        <v>G</v>
      </c>
      <c r="P402" t="str">
        <f t="shared" si="20"/>
        <v>A</v>
      </c>
      <c r="Q402">
        <f>IF(M402=0,0,VLOOKUP(M402,'aa codes'!$A$1:'aa codes'!$B$21,2))</f>
        <v>0</v>
      </c>
      <c r="R402">
        <f>IF(N402=0,0,VLOOKUP(N402,'aa codes'!$A$1:'aa codes'!$B$21,2))</f>
        <v>0</v>
      </c>
      <c r="S402" s="1">
        <v>1.51515152E-2</v>
      </c>
      <c r="T402" s="1">
        <v>0</v>
      </c>
    </row>
    <row r="403" spans="1:20">
      <c r="A403">
        <v>9</v>
      </c>
      <c r="B403">
        <v>135805928</v>
      </c>
      <c r="C403" t="str">
        <f t="shared" si="18"/>
        <v>9:135805928</v>
      </c>
      <c r="D403">
        <v>4</v>
      </c>
      <c r="E403" s="1">
        <v>5.0000000000000001E-3</v>
      </c>
      <c r="F403">
        <v>3</v>
      </c>
      <c r="G403">
        <v>1</v>
      </c>
      <c r="H403" s="4">
        <v>0</v>
      </c>
      <c r="I403">
        <v>3</v>
      </c>
      <c r="J403">
        <v>-1589</v>
      </c>
      <c r="K403">
        <v>0</v>
      </c>
      <c r="L403">
        <v>0</v>
      </c>
      <c r="M403">
        <v>0</v>
      </c>
      <c r="N403">
        <v>0</v>
      </c>
      <c r="O403" t="str">
        <f t="shared" si="19"/>
        <v>T</v>
      </c>
      <c r="P403" t="str">
        <f t="shared" si="20"/>
        <v>C</v>
      </c>
      <c r="Q403">
        <f>IF(M403=0,0,VLOOKUP(M403,'aa codes'!$A$1:'aa codes'!$B$21,2))</f>
        <v>0</v>
      </c>
      <c r="R403">
        <f>IF(N403=0,0,VLOOKUP(N403,'aa codes'!$A$1:'aa codes'!$B$21,2))</f>
        <v>0</v>
      </c>
      <c r="S403" s="1">
        <v>5.0000000000000001E-3</v>
      </c>
      <c r="T403" s="1">
        <v>0</v>
      </c>
    </row>
    <row r="404" spans="1:20">
      <c r="A404">
        <v>9</v>
      </c>
      <c r="B404">
        <v>135805930</v>
      </c>
      <c r="C404" t="str">
        <f t="shared" si="18"/>
        <v>9:135805930</v>
      </c>
      <c r="D404">
        <v>1</v>
      </c>
      <c r="E404" s="1">
        <v>7.0921985800000004E-3</v>
      </c>
      <c r="F404">
        <v>2</v>
      </c>
      <c r="G404">
        <v>1</v>
      </c>
      <c r="H404" s="4">
        <v>0</v>
      </c>
      <c r="I404">
        <v>3</v>
      </c>
      <c r="J404">
        <v>-1591</v>
      </c>
      <c r="K404">
        <v>0</v>
      </c>
      <c r="L404">
        <v>0</v>
      </c>
      <c r="M404">
        <v>0</v>
      </c>
      <c r="N404">
        <v>0</v>
      </c>
      <c r="O404" t="str">
        <f t="shared" si="19"/>
        <v>A</v>
      </c>
      <c r="P404" t="str">
        <f t="shared" si="20"/>
        <v>G</v>
      </c>
      <c r="Q404">
        <f>IF(M404=0,0,VLOOKUP(M404,'aa codes'!$A$1:'aa codes'!$B$21,2))</f>
        <v>0</v>
      </c>
      <c r="R404">
        <f>IF(N404=0,0,VLOOKUP(N404,'aa codes'!$A$1:'aa codes'!$B$21,2))</f>
        <v>0</v>
      </c>
      <c r="S404" s="1">
        <v>4.6728971999999997E-3</v>
      </c>
      <c r="T404" s="1">
        <v>7.0921985800000004E-3</v>
      </c>
    </row>
    <row r="405" spans="1:20">
      <c r="A405">
        <v>9</v>
      </c>
      <c r="B405">
        <v>135805931</v>
      </c>
      <c r="C405" t="str">
        <f t="shared" si="18"/>
        <v>9:135805931</v>
      </c>
      <c r="D405">
        <v>4</v>
      </c>
      <c r="E405" s="1">
        <v>5.0000000000000001E-3</v>
      </c>
      <c r="F405">
        <v>1</v>
      </c>
      <c r="G405">
        <v>1</v>
      </c>
      <c r="H405" s="4">
        <v>0</v>
      </c>
      <c r="I405">
        <v>3</v>
      </c>
      <c r="J405">
        <v>-1592</v>
      </c>
      <c r="K405">
        <v>0</v>
      </c>
      <c r="L405">
        <v>0</v>
      </c>
      <c r="M405">
        <v>0</v>
      </c>
      <c r="N405">
        <v>0</v>
      </c>
      <c r="O405" t="str">
        <f t="shared" si="19"/>
        <v>T</v>
      </c>
      <c r="P405" t="str">
        <f t="shared" si="20"/>
        <v>A</v>
      </c>
      <c r="Q405">
        <f>IF(M405=0,0,VLOOKUP(M405,'aa codes'!$A$1:'aa codes'!$B$21,2))</f>
        <v>0</v>
      </c>
      <c r="R405">
        <f>IF(N405=0,0,VLOOKUP(N405,'aa codes'!$A$1:'aa codes'!$B$21,2))</f>
        <v>0</v>
      </c>
      <c r="S405" s="1">
        <v>5.0000000000000001E-3</v>
      </c>
      <c r="T405" s="1">
        <v>0</v>
      </c>
    </row>
    <row r="406" spans="1:20">
      <c r="A406">
        <v>9</v>
      </c>
      <c r="B406">
        <v>135805933</v>
      </c>
      <c r="C406" t="str">
        <f t="shared" si="18"/>
        <v>9:135805933</v>
      </c>
      <c r="D406">
        <v>3</v>
      </c>
      <c r="E406" s="1">
        <v>1.01010101E-2</v>
      </c>
      <c r="F406">
        <v>1</v>
      </c>
      <c r="G406">
        <v>1</v>
      </c>
      <c r="H406" s="4">
        <v>0</v>
      </c>
      <c r="I406">
        <v>3</v>
      </c>
      <c r="J406">
        <v>-1594</v>
      </c>
      <c r="K406">
        <v>0</v>
      </c>
      <c r="L406">
        <v>0</v>
      </c>
      <c r="M406">
        <v>0</v>
      </c>
      <c r="N406">
        <v>0</v>
      </c>
      <c r="O406" t="str">
        <f t="shared" si="19"/>
        <v>C</v>
      </c>
      <c r="P406" t="str">
        <f t="shared" si="20"/>
        <v>A</v>
      </c>
      <c r="Q406">
        <f>IF(M406=0,0,VLOOKUP(M406,'aa codes'!$A$1:'aa codes'!$B$21,2))</f>
        <v>0</v>
      </c>
      <c r="R406">
        <f>IF(N406=0,0,VLOOKUP(N406,'aa codes'!$A$1:'aa codes'!$B$21,2))</f>
        <v>0</v>
      </c>
      <c r="S406" s="1">
        <v>1.01010101E-2</v>
      </c>
      <c r="T406" s="1">
        <v>0</v>
      </c>
    </row>
    <row r="407" spans="1:20">
      <c r="A407">
        <v>9</v>
      </c>
      <c r="B407">
        <v>135805934</v>
      </c>
      <c r="C407" t="str">
        <f t="shared" si="18"/>
        <v>9:135805934</v>
      </c>
      <c r="D407">
        <v>3</v>
      </c>
      <c r="E407" s="1">
        <v>7.3529411800000001E-3</v>
      </c>
      <c r="F407">
        <v>4</v>
      </c>
      <c r="G407">
        <v>1</v>
      </c>
      <c r="H407" s="4">
        <v>0</v>
      </c>
      <c r="I407">
        <v>3</v>
      </c>
      <c r="J407">
        <v>-1595</v>
      </c>
      <c r="K407">
        <v>0</v>
      </c>
      <c r="L407">
        <v>0</v>
      </c>
      <c r="M407">
        <v>0</v>
      </c>
      <c r="N407">
        <v>0</v>
      </c>
      <c r="O407" t="str">
        <f t="shared" si="19"/>
        <v>C</v>
      </c>
      <c r="P407" t="str">
        <f t="shared" si="20"/>
        <v>T</v>
      </c>
      <c r="Q407">
        <f>IF(M407=0,0,VLOOKUP(M407,'aa codes'!$A$1:'aa codes'!$B$21,2))</f>
        <v>0</v>
      </c>
      <c r="R407">
        <f>IF(N407=0,0,VLOOKUP(N407,'aa codes'!$A$1:'aa codes'!$B$21,2))</f>
        <v>0</v>
      </c>
      <c r="S407" s="1">
        <v>0</v>
      </c>
      <c r="T407" s="1">
        <v>7.3529411800000001E-3</v>
      </c>
    </row>
    <row r="408" spans="1:20">
      <c r="A408">
        <v>9</v>
      </c>
      <c r="B408">
        <v>135805944</v>
      </c>
      <c r="C408" t="str">
        <f t="shared" si="18"/>
        <v>9:135805944</v>
      </c>
      <c r="D408">
        <v>4</v>
      </c>
      <c r="E408" s="1">
        <v>1.3392857100000001E-2</v>
      </c>
      <c r="F408">
        <v>3</v>
      </c>
      <c r="G408">
        <v>2</v>
      </c>
      <c r="H408" s="4">
        <v>0</v>
      </c>
      <c r="I408">
        <v>3</v>
      </c>
      <c r="J408">
        <v>-1605</v>
      </c>
      <c r="K408">
        <v>0</v>
      </c>
      <c r="L408">
        <v>0</v>
      </c>
      <c r="M408">
        <v>0</v>
      </c>
      <c r="N408">
        <v>0</v>
      </c>
      <c r="O408" t="str">
        <f t="shared" si="19"/>
        <v>T</v>
      </c>
      <c r="P408" t="str">
        <f t="shared" si="20"/>
        <v>C</v>
      </c>
      <c r="Q408">
        <f>IF(M408=0,0,VLOOKUP(M408,'aa codes'!$A$1:'aa codes'!$B$21,2))</f>
        <v>0</v>
      </c>
      <c r="R408">
        <f>IF(N408=0,0,VLOOKUP(N408,'aa codes'!$A$1:'aa codes'!$B$21,2))</f>
        <v>0</v>
      </c>
      <c r="S408" s="1">
        <v>1.3392857100000001E-2</v>
      </c>
      <c r="T408" s="1">
        <v>6.7114093999999999E-3</v>
      </c>
    </row>
    <row r="409" spans="1:20">
      <c r="A409">
        <v>9</v>
      </c>
      <c r="B409">
        <v>135805946</v>
      </c>
      <c r="C409" t="str">
        <f t="shared" si="18"/>
        <v>9:135805946</v>
      </c>
      <c r="D409">
        <v>2</v>
      </c>
      <c r="E409" s="1">
        <v>9.0497737599999992E-3</v>
      </c>
      <c r="F409">
        <v>1</v>
      </c>
      <c r="G409">
        <v>2</v>
      </c>
      <c r="H409" s="4">
        <v>0</v>
      </c>
      <c r="I409">
        <v>3</v>
      </c>
      <c r="J409">
        <v>-1607</v>
      </c>
      <c r="K409">
        <v>0</v>
      </c>
      <c r="L409">
        <v>0</v>
      </c>
      <c r="M409">
        <v>0</v>
      </c>
      <c r="N409">
        <v>0</v>
      </c>
      <c r="O409" t="str">
        <f t="shared" si="19"/>
        <v>G</v>
      </c>
      <c r="P409" t="str">
        <f t="shared" si="20"/>
        <v>A</v>
      </c>
      <c r="Q409">
        <f>IF(M409=0,0,VLOOKUP(M409,'aa codes'!$A$1:'aa codes'!$B$21,2))</f>
        <v>0</v>
      </c>
      <c r="R409">
        <f>IF(N409=0,0,VLOOKUP(N409,'aa codes'!$A$1:'aa codes'!$B$21,2))</f>
        <v>0</v>
      </c>
      <c r="S409" s="1">
        <v>9.0497737599999992E-3</v>
      </c>
      <c r="T409" s="1">
        <v>6.53594771E-3</v>
      </c>
    </row>
    <row r="410" spans="1:20">
      <c r="A410">
        <v>9</v>
      </c>
      <c r="B410">
        <v>135805949</v>
      </c>
      <c r="C410" t="str">
        <f t="shared" si="18"/>
        <v>9:135805949</v>
      </c>
      <c r="D410">
        <v>4</v>
      </c>
      <c r="E410" s="1">
        <v>6.0975609799999997E-3</v>
      </c>
      <c r="F410">
        <v>3</v>
      </c>
      <c r="G410">
        <v>1</v>
      </c>
      <c r="H410" s="4">
        <v>0</v>
      </c>
      <c r="I410">
        <v>3</v>
      </c>
      <c r="J410">
        <v>-1610</v>
      </c>
      <c r="K410">
        <v>0</v>
      </c>
      <c r="L410">
        <v>0</v>
      </c>
      <c r="M410">
        <v>0</v>
      </c>
      <c r="N410">
        <v>0</v>
      </c>
      <c r="O410" t="str">
        <f t="shared" si="19"/>
        <v>T</v>
      </c>
      <c r="P410" t="str">
        <f t="shared" si="20"/>
        <v>C</v>
      </c>
      <c r="Q410">
        <f>IF(M410=0,0,VLOOKUP(M410,'aa codes'!$A$1:'aa codes'!$B$21,2))</f>
        <v>0</v>
      </c>
      <c r="R410">
        <f>IF(N410=0,0,VLOOKUP(N410,'aa codes'!$A$1:'aa codes'!$B$21,2))</f>
        <v>0</v>
      </c>
      <c r="S410" s="1">
        <v>0</v>
      </c>
      <c r="T410" s="1">
        <v>6.0975609799999997E-3</v>
      </c>
    </row>
    <row r="411" spans="1:20">
      <c r="A411">
        <v>9</v>
      </c>
      <c r="B411">
        <v>135805954</v>
      </c>
      <c r="C411" t="str">
        <f t="shared" si="18"/>
        <v>9:135805954</v>
      </c>
      <c r="D411">
        <v>1</v>
      </c>
      <c r="E411" s="1">
        <v>5.4644808699999999E-3</v>
      </c>
      <c r="F411">
        <v>2</v>
      </c>
      <c r="G411">
        <v>1</v>
      </c>
      <c r="H411" s="4">
        <v>0</v>
      </c>
      <c r="I411">
        <v>3</v>
      </c>
      <c r="J411">
        <v>-1615</v>
      </c>
      <c r="K411">
        <v>0</v>
      </c>
      <c r="L411">
        <v>0</v>
      </c>
      <c r="M411">
        <v>0</v>
      </c>
      <c r="N411">
        <v>0</v>
      </c>
      <c r="O411" t="str">
        <f t="shared" si="19"/>
        <v>A</v>
      </c>
      <c r="P411" t="str">
        <f t="shared" si="20"/>
        <v>G</v>
      </c>
      <c r="Q411">
        <f>IF(M411=0,0,VLOOKUP(M411,'aa codes'!$A$1:'aa codes'!$B$21,2))</f>
        <v>0</v>
      </c>
      <c r="R411">
        <f>IF(N411=0,0,VLOOKUP(N411,'aa codes'!$A$1:'aa codes'!$B$21,2))</f>
        <v>0</v>
      </c>
      <c r="S411" s="1">
        <v>4.08163265E-3</v>
      </c>
      <c r="T411" s="1">
        <v>5.4644808699999999E-3</v>
      </c>
    </row>
    <row r="412" spans="1:20">
      <c r="A412">
        <v>9</v>
      </c>
      <c r="B412">
        <v>135805956</v>
      </c>
      <c r="C412" t="str">
        <f t="shared" si="18"/>
        <v>9:135805956</v>
      </c>
      <c r="D412">
        <v>3</v>
      </c>
      <c r="E412" s="1">
        <v>1.15606936E-2</v>
      </c>
      <c r="F412">
        <v>1</v>
      </c>
      <c r="G412">
        <v>2</v>
      </c>
      <c r="H412" s="4">
        <v>0</v>
      </c>
      <c r="I412">
        <v>3</v>
      </c>
      <c r="J412">
        <v>-1617</v>
      </c>
      <c r="K412">
        <v>0</v>
      </c>
      <c r="L412">
        <v>0</v>
      </c>
      <c r="M412">
        <v>0</v>
      </c>
      <c r="N412">
        <v>0</v>
      </c>
      <c r="O412" t="str">
        <f t="shared" si="19"/>
        <v>C</v>
      </c>
      <c r="P412" t="str">
        <f t="shared" si="20"/>
        <v>A</v>
      </c>
      <c r="Q412">
        <f>IF(M412=0,0,VLOOKUP(M412,'aa codes'!$A$1:'aa codes'!$B$21,2))</f>
        <v>0</v>
      </c>
      <c r="R412">
        <f>IF(N412=0,0,VLOOKUP(N412,'aa codes'!$A$1:'aa codes'!$B$21,2))</f>
        <v>0</v>
      </c>
      <c r="S412" s="1">
        <v>8.8888888900000001E-3</v>
      </c>
      <c r="T412" s="1">
        <v>1.15606936E-2</v>
      </c>
    </row>
    <row r="413" spans="1:20">
      <c r="A413">
        <v>9</v>
      </c>
      <c r="B413">
        <v>135805958</v>
      </c>
      <c r="C413" t="str">
        <f t="shared" si="18"/>
        <v>9:135805958</v>
      </c>
      <c r="D413">
        <v>1</v>
      </c>
      <c r="E413" s="1">
        <v>8.0000000000000002E-3</v>
      </c>
      <c r="F413">
        <v>2</v>
      </c>
      <c r="G413">
        <v>2</v>
      </c>
      <c r="H413" s="4">
        <v>0</v>
      </c>
      <c r="I413">
        <v>3</v>
      </c>
      <c r="J413">
        <v>-1619</v>
      </c>
      <c r="K413">
        <v>0</v>
      </c>
      <c r="L413">
        <v>0</v>
      </c>
      <c r="M413">
        <v>0</v>
      </c>
      <c r="N413">
        <v>0</v>
      </c>
      <c r="O413" t="str">
        <f t="shared" si="19"/>
        <v>A</v>
      </c>
      <c r="P413" t="str">
        <f t="shared" si="20"/>
        <v>G</v>
      </c>
      <c r="Q413">
        <f>IF(M413=0,0,VLOOKUP(M413,'aa codes'!$A$1:'aa codes'!$B$21,2))</f>
        <v>0</v>
      </c>
      <c r="R413">
        <f>IF(N413=0,0,VLOOKUP(N413,'aa codes'!$A$1:'aa codes'!$B$21,2))</f>
        <v>0</v>
      </c>
      <c r="S413" s="1">
        <v>8.0000000000000002E-3</v>
      </c>
      <c r="T413" s="1">
        <v>5.3763440900000004E-3</v>
      </c>
    </row>
    <row r="414" spans="1:20">
      <c r="A414">
        <v>9</v>
      </c>
      <c r="B414">
        <v>135805961</v>
      </c>
      <c r="C414" t="str">
        <f t="shared" si="18"/>
        <v>9:135805961</v>
      </c>
      <c r="D414">
        <v>3</v>
      </c>
      <c r="E414" s="1">
        <v>1.28755365E-2</v>
      </c>
      <c r="F414">
        <v>1</v>
      </c>
      <c r="G414">
        <v>2</v>
      </c>
      <c r="H414" s="4">
        <v>0</v>
      </c>
      <c r="I414">
        <v>3</v>
      </c>
      <c r="J414">
        <v>-1622</v>
      </c>
      <c r="K414">
        <v>0</v>
      </c>
      <c r="L414">
        <v>0</v>
      </c>
      <c r="M414">
        <v>0</v>
      </c>
      <c r="N414">
        <v>0</v>
      </c>
      <c r="O414" t="str">
        <f t="shared" si="19"/>
        <v>C</v>
      </c>
      <c r="P414" t="str">
        <f t="shared" si="20"/>
        <v>A</v>
      </c>
      <c r="Q414">
        <f>IF(M414=0,0,VLOOKUP(M414,'aa codes'!$A$1:'aa codes'!$B$21,2))</f>
        <v>0</v>
      </c>
      <c r="R414">
        <f>IF(N414=0,0,VLOOKUP(N414,'aa codes'!$A$1:'aa codes'!$B$21,2))</f>
        <v>0</v>
      </c>
      <c r="S414" s="1">
        <v>1.28755365E-2</v>
      </c>
      <c r="T414" s="1">
        <v>5.7803468199999998E-3</v>
      </c>
    </row>
    <row r="415" spans="1:20">
      <c r="A415">
        <v>9</v>
      </c>
      <c r="B415">
        <v>135805968</v>
      </c>
      <c r="C415" t="str">
        <f t="shared" si="18"/>
        <v>9:135805968</v>
      </c>
      <c r="D415">
        <v>3</v>
      </c>
      <c r="E415" s="1">
        <v>8.3333333299999996E-3</v>
      </c>
      <c r="F415">
        <v>4</v>
      </c>
      <c r="G415">
        <v>1</v>
      </c>
      <c r="H415" s="4">
        <v>0</v>
      </c>
      <c r="I415">
        <v>3</v>
      </c>
      <c r="J415">
        <v>-1629</v>
      </c>
      <c r="K415">
        <v>0</v>
      </c>
      <c r="L415">
        <v>0</v>
      </c>
      <c r="M415">
        <v>0</v>
      </c>
      <c r="N415">
        <v>0</v>
      </c>
      <c r="O415" t="str">
        <f t="shared" si="19"/>
        <v>C</v>
      </c>
      <c r="P415" t="str">
        <f t="shared" si="20"/>
        <v>T</v>
      </c>
      <c r="Q415">
        <f>IF(M415=0,0,VLOOKUP(M415,'aa codes'!$A$1:'aa codes'!$B$21,2))</f>
        <v>0</v>
      </c>
      <c r="R415">
        <f>IF(N415=0,0,VLOOKUP(N415,'aa codes'!$A$1:'aa codes'!$B$21,2))</f>
        <v>0</v>
      </c>
      <c r="S415" s="1">
        <v>8.3333333299999996E-3</v>
      </c>
      <c r="T415" s="1">
        <v>0</v>
      </c>
    </row>
    <row r="416" spans="1:20">
      <c r="A416">
        <v>9</v>
      </c>
      <c r="B416">
        <v>135805969</v>
      </c>
      <c r="C416" t="str">
        <f t="shared" si="18"/>
        <v>9:135805969</v>
      </c>
      <c r="D416">
        <v>4</v>
      </c>
      <c r="E416" s="1">
        <v>5.49450549E-3</v>
      </c>
      <c r="F416">
        <v>3</v>
      </c>
      <c r="G416">
        <v>1</v>
      </c>
      <c r="H416" s="4">
        <v>0</v>
      </c>
      <c r="I416">
        <v>3</v>
      </c>
      <c r="J416">
        <v>-1630</v>
      </c>
      <c r="K416">
        <v>0</v>
      </c>
      <c r="L416">
        <v>0</v>
      </c>
      <c r="M416">
        <v>0</v>
      </c>
      <c r="N416">
        <v>0</v>
      </c>
      <c r="O416" t="str">
        <f t="shared" si="19"/>
        <v>T</v>
      </c>
      <c r="P416" t="str">
        <f t="shared" si="20"/>
        <v>C</v>
      </c>
      <c r="Q416">
        <f>IF(M416=0,0,VLOOKUP(M416,'aa codes'!$A$1:'aa codes'!$B$21,2))</f>
        <v>0</v>
      </c>
      <c r="R416">
        <f>IF(N416=0,0,VLOOKUP(N416,'aa codes'!$A$1:'aa codes'!$B$21,2))</f>
        <v>0</v>
      </c>
      <c r="S416" s="1">
        <v>0</v>
      </c>
      <c r="T416" s="1">
        <v>5.49450549E-3</v>
      </c>
    </row>
    <row r="417" spans="1:20">
      <c r="A417">
        <v>9</v>
      </c>
      <c r="B417">
        <v>135805972</v>
      </c>
      <c r="C417" t="str">
        <f t="shared" si="18"/>
        <v>9:135805972</v>
      </c>
      <c r="D417">
        <v>3</v>
      </c>
      <c r="E417" s="1">
        <v>7.1942446E-3</v>
      </c>
      <c r="F417">
        <v>1</v>
      </c>
      <c r="G417">
        <v>1</v>
      </c>
      <c r="H417" s="4">
        <v>0</v>
      </c>
      <c r="I417">
        <v>3</v>
      </c>
      <c r="J417">
        <v>-1633</v>
      </c>
      <c r="K417">
        <v>0</v>
      </c>
      <c r="L417">
        <v>0</v>
      </c>
      <c r="M417">
        <v>0</v>
      </c>
      <c r="N417">
        <v>0</v>
      </c>
      <c r="O417" t="str">
        <f t="shared" si="19"/>
        <v>C</v>
      </c>
      <c r="P417" t="str">
        <f t="shared" si="20"/>
        <v>A</v>
      </c>
      <c r="Q417">
        <f>IF(M417=0,0,VLOOKUP(M417,'aa codes'!$A$1:'aa codes'!$B$21,2))</f>
        <v>0</v>
      </c>
      <c r="R417">
        <f>IF(N417=0,0,VLOOKUP(N417,'aa codes'!$A$1:'aa codes'!$B$21,2))</f>
        <v>0</v>
      </c>
      <c r="S417" s="1">
        <v>7.1942446E-3</v>
      </c>
      <c r="T417" s="1">
        <v>0</v>
      </c>
    </row>
    <row r="418" spans="1:20">
      <c r="A418">
        <v>9</v>
      </c>
      <c r="B418">
        <v>135805973</v>
      </c>
      <c r="C418" t="str">
        <f t="shared" si="18"/>
        <v>9:135805973</v>
      </c>
      <c r="D418">
        <v>4</v>
      </c>
      <c r="E418" s="1">
        <v>1.5810276700000001E-2</v>
      </c>
      <c r="F418">
        <v>1</v>
      </c>
      <c r="G418">
        <v>2</v>
      </c>
      <c r="H418" s="4">
        <v>0</v>
      </c>
      <c r="I418">
        <v>3</v>
      </c>
      <c r="J418">
        <v>-1634</v>
      </c>
      <c r="K418">
        <v>0</v>
      </c>
      <c r="L418">
        <v>0</v>
      </c>
      <c r="M418">
        <v>0</v>
      </c>
      <c r="N418">
        <v>0</v>
      </c>
      <c r="O418" t="str">
        <f t="shared" si="19"/>
        <v>T</v>
      </c>
      <c r="P418" t="str">
        <f t="shared" si="20"/>
        <v>A</v>
      </c>
      <c r="Q418">
        <f>IF(M418=0,0,VLOOKUP(M418,'aa codes'!$A$1:'aa codes'!$B$21,2))</f>
        <v>0</v>
      </c>
      <c r="R418">
        <f>IF(N418=0,0,VLOOKUP(N418,'aa codes'!$A$1:'aa codes'!$B$21,2))</f>
        <v>0</v>
      </c>
      <c r="S418" s="1">
        <v>1.5810276700000001E-2</v>
      </c>
      <c r="T418" s="1">
        <v>9.0497737599999992E-3</v>
      </c>
    </row>
    <row r="419" spans="1:20">
      <c r="A419">
        <v>9</v>
      </c>
      <c r="B419">
        <v>135805974</v>
      </c>
      <c r="C419" t="str">
        <f t="shared" si="18"/>
        <v>9:135805974</v>
      </c>
      <c r="D419">
        <v>3</v>
      </c>
      <c r="E419" s="1">
        <v>3.62537764E-2</v>
      </c>
      <c r="F419">
        <v>1</v>
      </c>
      <c r="G419">
        <v>2</v>
      </c>
      <c r="H419" s="4">
        <v>0</v>
      </c>
      <c r="I419">
        <v>3</v>
      </c>
      <c r="J419">
        <v>-1635</v>
      </c>
      <c r="K419">
        <v>0</v>
      </c>
      <c r="L419">
        <v>0</v>
      </c>
      <c r="M419">
        <v>0</v>
      </c>
      <c r="N419">
        <v>0</v>
      </c>
      <c r="O419" t="str">
        <f t="shared" si="19"/>
        <v>C</v>
      </c>
      <c r="P419" t="str">
        <f t="shared" si="20"/>
        <v>A</v>
      </c>
      <c r="Q419">
        <f>IF(M419=0,0,VLOOKUP(M419,'aa codes'!$A$1:'aa codes'!$B$21,2))</f>
        <v>0</v>
      </c>
      <c r="R419">
        <f>IF(N419=0,0,VLOOKUP(N419,'aa codes'!$A$1:'aa codes'!$B$21,2))</f>
        <v>0</v>
      </c>
      <c r="S419" s="1">
        <v>3.5616438399999999E-2</v>
      </c>
      <c r="T419" s="1">
        <v>3.62537764E-2</v>
      </c>
    </row>
    <row r="420" spans="1:20">
      <c r="A420">
        <v>9</v>
      </c>
      <c r="B420">
        <v>135805975</v>
      </c>
      <c r="C420" t="str">
        <f t="shared" si="18"/>
        <v>9:135805975</v>
      </c>
      <c r="D420">
        <v>1</v>
      </c>
      <c r="E420" s="1">
        <v>7.9051383399999994E-3</v>
      </c>
      <c r="F420">
        <v>3</v>
      </c>
      <c r="G420">
        <v>2</v>
      </c>
      <c r="H420" s="4">
        <v>0</v>
      </c>
      <c r="I420">
        <v>3</v>
      </c>
      <c r="J420">
        <v>-1636</v>
      </c>
      <c r="K420">
        <v>0</v>
      </c>
      <c r="L420">
        <v>0</v>
      </c>
      <c r="M420">
        <v>0</v>
      </c>
      <c r="N420">
        <v>0</v>
      </c>
      <c r="O420" t="str">
        <f t="shared" si="19"/>
        <v>A</v>
      </c>
      <c r="P420" t="str">
        <f t="shared" si="20"/>
        <v>C</v>
      </c>
      <c r="Q420">
        <f>IF(M420=0,0,VLOOKUP(M420,'aa codes'!$A$1:'aa codes'!$B$21,2))</f>
        <v>0</v>
      </c>
      <c r="R420">
        <f>IF(N420=0,0,VLOOKUP(N420,'aa codes'!$A$1:'aa codes'!$B$21,2))</f>
        <v>0</v>
      </c>
      <c r="S420" s="1">
        <v>6.4308681700000004E-3</v>
      </c>
      <c r="T420" s="1">
        <v>7.9051383399999994E-3</v>
      </c>
    </row>
    <row r="421" spans="1:20">
      <c r="A421">
        <v>9</v>
      </c>
      <c r="B421">
        <v>135805976</v>
      </c>
      <c r="C421" t="str">
        <f t="shared" si="18"/>
        <v>9:135805976</v>
      </c>
      <c r="D421">
        <v>1</v>
      </c>
      <c r="E421" s="1">
        <v>2.13523132E-2</v>
      </c>
      <c r="F421">
        <v>3</v>
      </c>
      <c r="G421">
        <v>2</v>
      </c>
      <c r="H421" s="4">
        <v>0</v>
      </c>
      <c r="I421">
        <v>3</v>
      </c>
      <c r="J421">
        <v>-1637</v>
      </c>
      <c r="K421">
        <v>0</v>
      </c>
      <c r="L421">
        <v>0</v>
      </c>
      <c r="M421">
        <v>0</v>
      </c>
      <c r="N421">
        <v>0</v>
      </c>
      <c r="O421" t="str">
        <f t="shared" si="19"/>
        <v>A</v>
      </c>
      <c r="P421" t="str">
        <f t="shared" si="20"/>
        <v>C</v>
      </c>
      <c r="Q421">
        <f>IF(M421=0,0,VLOOKUP(M421,'aa codes'!$A$1:'aa codes'!$B$21,2))</f>
        <v>0</v>
      </c>
      <c r="R421">
        <f>IF(N421=0,0,VLOOKUP(N421,'aa codes'!$A$1:'aa codes'!$B$21,2))</f>
        <v>0</v>
      </c>
      <c r="S421" s="1">
        <v>8.8495575200000006E-3</v>
      </c>
      <c r="T421" s="1">
        <v>2.13523132E-2</v>
      </c>
    </row>
    <row r="422" spans="1:20">
      <c r="A422">
        <v>9</v>
      </c>
      <c r="B422">
        <v>135805977</v>
      </c>
      <c r="C422" t="str">
        <f t="shared" si="18"/>
        <v>9:135805977</v>
      </c>
      <c r="D422">
        <v>1</v>
      </c>
      <c r="E422" s="1">
        <v>8.5227272700000006E-3</v>
      </c>
      <c r="F422">
        <v>3</v>
      </c>
      <c r="G422">
        <v>2</v>
      </c>
      <c r="H422" s="4">
        <v>0</v>
      </c>
      <c r="I422">
        <v>3</v>
      </c>
      <c r="J422">
        <v>-1638</v>
      </c>
      <c r="K422">
        <v>0</v>
      </c>
      <c r="L422">
        <v>0</v>
      </c>
      <c r="M422">
        <v>0</v>
      </c>
      <c r="N422">
        <v>0</v>
      </c>
      <c r="O422" t="str">
        <f t="shared" si="19"/>
        <v>A</v>
      </c>
      <c r="P422" t="str">
        <f t="shared" si="20"/>
        <v>C</v>
      </c>
      <c r="Q422">
        <f>IF(M422=0,0,VLOOKUP(M422,'aa codes'!$A$1:'aa codes'!$B$21,2))</f>
        <v>0</v>
      </c>
      <c r="R422">
        <f>IF(N422=0,0,VLOOKUP(N422,'aa codes'!$A$1:'aa codes'!$B$21,2))</f>
        <v>0</v>
      </c>
      <c r="S422" s="1">
        <v>8.5227272700000006E-3</v>
      </c>
      <c r="T422" s="1">
        <v>6.6666666699999998E-3</v>
      </c>
    </row>
    <row r="423" spans="1:20">
      <c r="A423">
        <v>9</v>
      </c>
      <c r="B423">
        <v>135806000</v>
      </c>
      <c r="C423" t="str">
        <f t="shared" si="18"/>
        <v>9:135806000</v>
      </c>
      <c r="D423">
        <v>2</v>
      </c>
      <c r="E423" s="1">
        <v>9.0425531899999995E-2</v>
      </c>
      <c r="F423">
        <v>1</v>
      </c>
      <c r="G423">
        <v>2</v>
      </c>
      <c r="H423" s="4">
        <v>0</v>
      </c>
      <c r="I423">
        <v>3</v>
      </c>
      <c r="J423">
        <v>-1661</v>
      </c>
      <c r="K423">
        <v>0</v>
      </c>
      <c r="L423">
        <v>0</v>
      </c>
      <c r="M423">
        <v>0</v>
      </c>
      <c r="N423">
        <v>0</v>
      </c>
      <c r="O423" t="str">
        <f t="shared" si="19"/>
        <v>G</v>
      </c>
      <c r="P423" t="str">
        <f t="shared" si="20"/>
        <v>A</v>
      </c>
      <c r="Q423">
        <f>IF(M423=0,0,VLOOKUP(M423,'aa codes'!$A$1:'aa codes'!$B$21,2))</f>
        <v>0</v>
      </c>
      <c r="R423">
        <f>IF(N423=0,0,VLOOKUP(N423,'aa codes'!$A$1:'aa codes'!$B$21,2))</f>
        <v>0</v>
      </c>
      <c r="S423" s="1">
        <v>4.4164037900000001E-2</v>
      </c>
      <c r="T423" s="1">
        <v>9.0425531899999995E-2</v>
      </c>
    </row>
    <row r="424" spans="1:20">
      <c r="A424">
        <v>9</v>
      </c>
      <c r="B424">
        <v>135806001</v>
      </c>
      <c r="C424" t="str">
        <f t="shared" si="18"/>
        <v>9:135806001</v>
      </c>
      <c r="D424">
        <v>1</v>
      </c>
      <c r="E424" s="1">
        <v>5.1020408199999997E-3</v>
      </c>
      <c r="F424">
        <v>2</v>
      </c>
      <c r="G424">
        <v>1</v>
      </c>
      <c r="H424" s="4">
        <v>0</v>
      </c>
      <c r="I424">
        <v>3</v>
      </c>
      <c r="J424">
        <v>-1662</v>
      </c>
      <c r="K424">
        <v>0</v>
      </c>
      <c r="L424">
        <v>0</v>
      </c>
      <c r="M424">
        <v>0</v>
      </c>
      <c r="N424">
        <v>0</v>
      </c>
      <c r="O424" t="str">
        <f t="shared" si="19"/>
        <v>A</v>
      </c>
      <c r="P424" t="str">
        <f t="shared" si="20"/>
        <v>G</v>
      </c>
      <c r="Q424">
        <f>IF(M424=0,0,VLOOKUP(M424,'aa codes'!$A$1:'aa codes'!$B$21,2))</f>
        <v>0</v>
      </c>
      <c r="R424">
        <f>IF(N424=0,0,VLOOKUP(N424,'aa codes'!$A$1:'aa codes'!$B$21,2))</f>
        <v>0</v>
      </c>
      <c r="S424" s="1">
        <v>0</v>
      </c>
      <c r="T424" s="1">
        <v>5.1020408199999997E-3</v>
      </c>
    </row>
    <row r="425" spans="1:20">
      <c r="A425">
        <v>9</v>
      </c>
      <c r="B425">
        <v>135806002</v>
      </c>
      <c r="C425" t="str">
        <f t="shared" si="18"/>
        <v>9:135806002</v>
      </c>
      <c r="D425">
        <v>2</v>
      </c>
      <c r="E425" s="1">
        <v>2.3809523799999999E-2</v>
      </c>
      <c r="F425">
        <v>1</v>
      </c>
      <c r="G425">
        <v>2</v>
      </c>
      <c r="H425" s="4">
        <v>0</v>
      </c>
      <c r="I425">
        <v>3</v>
      </c>
      <c r="J425">
        <v>-1663</v>
      </c>
      <c r="K425">
        <v>0</v>
      </c>
      <c r="L425">
        <v>0</v>
      </c>
      <c r="M425">
        <v>0</v>
      </c>
      <c r="N425">
        <v>0</v>
      </c>
      <c r="O425" t="str">
        <f t="shared" si="19"/>
        <v>G</v>
      </c>
      <c r="P425" t="str">
        <f t="shared" si="20"/>
        <v>A</v>
      </c>
      <c r="Q425">
        <f>IF(M425=0,0,VLOOKUP(M425,'aa codes'!$A$1:'aa codes'!$B$21,2))</f>
        <v>0</v>
      </c>
      <c r="R425">
        <f>IF(N425=0,0,VLOOKUP(N425,'aa codes'!$A$1:'aa codes'!$B$21,2))</f>
        <v>0</v>
      </c>
      <c r="S425" s="1">
        <v>2.3809523799999999E-2</v>
      </c>
      <c r="T425" s="1">
        <v>1.6666666699999999E-2</v>
      </c>
    </row>
    <row r="426" spans="1:20">
      <c r="A426">
        <v>9</v>
      </c>
      <c r="B426">
        <v>135806004</v>
      </c>
      <c r="C426" t="str">
        <f t="shared" si="18"/>
        <v>9:135806004</v>
      </c>
      <c r="D426">
        <v>2</v>
      </c>
      <c r="E426" s="1">
        <v>1.44927536E-2</v>
      </c>
      <c r="F426">
        <v>1</v>
      </c>
      <c r="G426">
        <v>2</v>
      </c>
      <c r="H426" s="4">
        <v>0</v>
      </c>
      <c r="I426">
        <v>3</v>
      </c>
      <c r="J426">
        <v>-1665</v>
      </c>
      <c r="K426">
        <v>0</v>
      </c>
      <c r="L426">
        <v>0</v>
      </c>
      <c r="M426">
        <v>0</v>
      </c>
      <c r="N426">
        <v>0</v>
      </c>
      <c r="O426" t="str">
        <f t="shared" si="19"/>
        <v>G</v>
      </c>
      <c r="P426" t="str">
        <f t="shared" si="20"/>
        <v>A</v>
      </c>
      <c r="Q426">
        <f>IF(M426=0,0,VLOOKUP(M426,'aa codes'!$A$1:'aa codes'!$B$21,2))</f>
        <v>0</v>
      </c>
      <c r="R426">
        <f>IF(N426=0,0,VLOOKUP(N426,'aa codes'!$A$1:'aa codes'!$B$21,2))</f>
        <v>0</v>
      </c>
      <c r="S426" s="1">
        <v>1.44927536E-2</v>
      </c>
      <c r="T426" s="1">
        <v>1.0810810800000001E-2</v>
      </c>
    </row>
    <row r="427" spans="1:20">
      <c r="A427">
        <v>9</v>
      </c>
      <c r="B427">
        <v>135806006</v>
      </c>
      <c r="C427" t="str">
        <f t="shared" si="18"/>
        <v>9:135806006</v>
      </c>
      <c r="D427">
        <v>2</v>
      </c>
      <c r="E427" s="1">
        <v>1.6042780699999998E-2</v>
      </c>
      <c r="F427">
        <v>1</v>
      </c>
      <c r="G427">
        <v>2</v>
      </c>
      <c r="H427" s="4">
        <v>0</v>
      </c>
      <c r="I427">
        <v>3</v>
      </c>
      <c r="J427">
        <v>-1667</v>
      </c>
      <c r="K427">
        <v>0</v>
      </c>
      <c r="L427">
        <v>0</v>
      </c>
      <c r="M427">
        <v>0</v>
      </c>
      <c r="N427">
        <v>0</v>
      </c>
      <c r="O427" t="str">
        <f t="shared" si="19"/>
        <v>G</v>
      </c>
      <c r="P427" t="str">
        <f t="shared" si="20"/>
        <v>A</v>
      </c>
      <c r="Q427">
        <f>IF(M427=0,0,VLOOKUP(M427,'aa codes'!$A$1:'aa codes'!$B$21,2))</f>
        <v>0</v>
      </c>
      <c r="R427">
        <f>IF(N427=0,0,VLOOKUP(N427,'aa codes'!$A$1:'aa codes'!$B$21,2))</f>
        <v>0</v>
      </c>
      <c r="S427" s="1">
        <v>8.5470085500000004E-3</v>
      </c>
      <c r="T427" s="1">
        <v>1.6042780699999998E-2</v>
      </c>
    </row>
    <row r="428" spans="1:20">
      <c r="A428">
        <v>9</v>
      </c>
      <c r="B428">
        <v>135806008</v>
      </c>
      <c r="C428" t="str">
        <f t="shared" si="18"/>
        <v>9:135806008</v>
      </c>
      <c r="D428">
        <v>4</v>
      </c>
      <c r="E428" s="1">
        <v>7.5757575800000004E-2</v>
      </c>
      <c r="F428">
        <v>1</v>
      </c>
      <c r="G428">
        <v>2</v>
      </c>
      <c r="H428" s="4">
        <v>0</v>
      </c>
      <c r="I428">
        <v>3</v>
      </c>
      <c r="J428">
        <v>-1669</v>
      </c>
      <c r="K428">
        <v>0</v>
      </c>
      <c r="L428">
        <v>0</v>
      </c>
      <c r="M428">
        <v>0</v>
      </c>
      <c r="N428">
        <v>0</v>
      </c>
      <c r="O428" t="str">
        <f t="shared" si="19"/>
        <v>T</v>
      </c>
      <c r="P428" t="str">
        <f t="shared" si="20"/>
        <v>A</v>
      </c>
      <c r="Q428">
        <f>IF(M428=0,0,VLOOKUP(M428,'aa codes'!$A$1:'aa codes'!$B$21,2))</f>
        <v>0</v>
      </c>
      <c r="R428">
        <f>IF(N428=0,0,VLOOKUP(N428,'aa codes'!$A$1:'aa codes'!$B$21,2))</f>
        <v>0</v>
      </c>
      <c r="S428" s="1">
        <v>6.2015503899999998E-2</v>
      </c>
      <c r="T428" s="1">
        <v>7.5757575800000004E-2</v>
      </c>
    </row>
    <row r="429" spans="1:20">
      <c r="A429">
        <v>9</v>
      </c>
      <c r="B429">
        <v>135806011</v>
      </c>
      <c r="C429" t="str">
        <f t="shared" si="18"/>
        <v>9:135806011</v>
      </c>
      <c r="D429">
        <v>2</v>
      </c>
      <c r="E429" s="1">
        <v>3.1963470299999998E-2</v>
      </c>
      <c r="F429">
        <v>1</v>
      </c>
      <c r="G429">
        <v>2</v>
      </c>
      <c r="H429" s="4">
        <v>0</v>
      </c>
      <c r="I429">
        <v>3</v>
      </c>
      <c r="J429">
        <v>-1672</v>
      </c>
      <c r="K429">
        <v>0</v>
      </c>
      <c r="L429">
        <v>0</v>
      </c>
      <c r="M429">
        <v>0</v>
      </c>
      <c r="N429">
        <v>0</v>
      </c>
      <c r="O429" t="str">
        <f t="shared" si="19"/>
        <v>G</v>
      </c>
      <c r="P429" t="str">
        <f t="shared" si="20"/>
        <v>A</v>
      </c>
      <c r="Q429">
        <f>IF(M429=0,0,VLOOKUP(M429,'aa codes'!$A$1:'aa codes'!$B$21,2))</f>
        <v>0</v>
      </c>
      <c r="R429">
        <f>IF(N429=0,0,VLOOKUP(N429,'aa codes'!$A$1:'aa codes'!$B$21,2))</f>
        <v>0</v>
      </c>
      <c r="S429" s="1">
        <v>3.1963470299999998E-2</v>
      </c>
      <c r="T429" s="1">
        <v>2.96610169E-2</v>
      </c>
    </row>
    <row r="430" spans="1:20">
      <c r="A430">
        <v>9</v>
      </c>
      <c r="B430">
        <v>135806013</v>
      </c>
      <c r="C430" t="str">
        <f t="shared" si="18"/>
        <v>9:135806013</v>
      </c>
      <c r="D430">
        <v>4</v>
      </c>
      <c r="E430" s="1">
        <v>1.0660980800000001E-2</v>
      </c>
      <c r="F430">
        <v>3</v>
      </c>
      <c r="G430">
        <v>1</v>
      </c>
      <c r="H430" s="4">
        <v>0</v>
      </c>
      <c r="I430">
        <v>3</v>
      </c>
      <c r="J430">
        <v>-1674</v>
      </c>
      <c r="K430">
        <v>0</v>
      </c>
      <c r="L430">
        <v>0</v>
      </c>
      <c r="M430">
        <v>0</v>
      </c>
      <c r="N430">
        <v>0</v>
      </c>
      <c r="O430" t="str">
        <f t="shared" si="19"/>
        <v>T</v>
      </c>
      <c r="P430" t="str">
        <f t="shared" si="20"/>
        <v>C</v>
      </c>
      <c r="Q430">
        <f>IF(M430=0,0,VLOOKUP(M430,'aa codes'!$A$1:'aa codes'!$B$21,2))</f>
        <v>0</v>
      </c>
      <c r="R430">
        <f>IF(N430=0,0,VLOOKUP(N430,'aa codes'!$A$1:'aa codes'!$B$21,2))</f>
        <v>0</v>
      </c>
      <c r="S430" s="1">
        <v>1.0660980800000001E-2</v>
      </c>
      <c r="T430" s="1">
        <v>0</v>
      </c>
    </row>
    <row r="431" spans="1:20">
      <c r="A431">
        <v>9</v>
      </c>
      <c r="B431">
        <v>135806015</v>
      </c>
      <c r="C431" t="str">
        <f t="shared" si="18"/>
        <v>9:135806015</v>
      </c>
      <c r="D431">
        <v>3</v>
      </c>
      <c r="E431" s="1">
        <v>1.04166667E-2</v>
      </c>
      <c r="F431">
        <v>4</v>
      </c>
      <c r="G431">
        <v>2</v>
      </c>
      <c r="H431" s="4">
        <v>0</v>
      </c>
      <c r="I431">
        <v>3</v>
      </c>
      <c r="J431">
        <v>-1676</v>
      </c>
      <c r="K431">
        <v>0</v>
      </c>
      <c r="L431">
        <v>0</v>
      </c>
      <c r="M431">
        <v>0</v>
      </c>
      <c r="N431">
        <v>0</v>
      </c>
      <c r="O431" t="str">
        <f t="shared" si="19"/>
        <v>C</v>
      </c>
      <c r="P431" t="str">
        <f t="shared" si="20"/>
        <v>T</v>
      </c>
      <c r="Q431">
        <f>IF(M431=0,0,VLOOKUP(M431,'aa codes'!$A$1:'aa codes'!$B$21,2))</f>
        <v>0</v>
      </c>
      <c r="R431">
        <f>IF(N431=0,0,VLOOKUP(N431,'aa codes'!$A$1:'aa codes'!$B$21,2))</f>
        <v>0</v>
      </c>
      <c r="S431" s="1">
        <v>8.4033613400000002E-3</v>
      </c>
      <c r="T431" s="1">
        <v>1.04166667E-2</v>
      </c>
    </row>
    <row r="432" spans="1:20">
      <c r="A432">
        <v>9</v>
      </c>
      <c r="B432">
        <v>135806018</v>
      </c>
      <c r="C432" t="str">
        <f t="shared" si="18"/>
        <v>9:135806018</v>
      </c>
      <c r="D432">
        <v>3</v>
      </c>
      <c r="E432" s="1">
        <v>8.5836909900000001E-3</v>
      </c>
      <c r="F432">
        <v>4</v>
      </c>
      <c r="G432">
        <v>2</v>
      </c>
      <c r="H432" s="4">
        <v>0</v>
      </c>
      <c r="I432">
        <v>3</v>
      </c>
      <c r="J432">
        <v>-1679</v>
      </c>
      <c r="K432">
        <v>0</v>
      </c>
      <c r="L432">
        <v>0</v>
      </c>
      <c r="M432">
        <v>0</v>
      </c>
      <c r="N432">
        <v>0</v>
      </c>
      <c r="O432" t="str">
        <f t="shared" si="19"/>
        <v>C</v>
      </c>
      <c r="P432" t="str">
        <f t="shared" si="20"/>
        <v>T</v>
      </c>
      <c r="Q432">
        <f>IF(M432=0,0,VLOOKUP(M432,'aa codes'!$A$1:'aa codes'!$B$21,2))</f>
        <v>0</v>
      </c>
      <c r="R432">
        <f>IF(N432=0,0,VLOOKUP(N432,'aa codes'!$A$1:'aa codes'!$B$21,2))</f>
        <v>0</v>
      </c>
      <c r="S432" s="1">
        <v>8.5836909900000001E-3</v>
      </c>
      <c r="T432" s="1">
        <v>7.0921985800000004E-3</v>
      </c>
    </row>
    <row r="433" spans="1:20">
      <c r="A433">
        <v>9</v>
      </c>
      <c r="B433">
        <v>135806020</v>
      </c>
      <c r="C433" t="str">
        <f t="shared" si="18"/>
        <v>9:135806020</v>
      </c>
      <c r="D433">
        <v>2</v>
      </c>
      <c r="E433" s="1">
        <v>1.48367953E-2</v>
      </c>
      <c r="F433">
        <v>4</v>
      </c>
      <c r="G433">
        <v>2</v>
      </c>
      <c r="H433" s="4">
        <v>0</v>
      </c>
      <c r="I433">
        <v>3</v>
      </c>
      <c r="J433">
        <v>-1681</v>
      </c>
      <c r="K433">
        <v>0</v>
      </c>
      <c r="L433">
        <v>0</v>
      </c>
      <c r="M433">
        <v>0</v>
      </c>
      <c r="N433">
        <v>0</v>
      </c>
      <c r="O433" t="str">
        <f t="shared" si="19"/>
        <v>G</v>
      </c>
      <c r="P433" t="str">
        <f t="shared" si="20"/>
        <v>T</v>
      </c>
      <c r="Q433">
        <f>IF(M433=0,0,VLOOKUP(M433,'aa codes'!$A$1:'aa codes'!$B$21,2))</f>
        <v>0</v>
      </c>
      <c r="R433">
        <f>IF(N433=0,0,VLOOKUP(N433,'aa codes'!$A$1:'aa codes'!$B$21,2))</f>
        <v>0</v>
      </c>
      <c r="S433" s="1">
        <v>5.859375E-3</v>
      </c>
      <c r="T433" s="1">
        <v>1.48367953E-2</v>
      </c>
    </row>
    <row r="434" spans="1:20">
      <c r="A434">
        <v>9</v>
      </c>
      <c r="B434">
        <v>135806021</v>
      </c>
      <c r="C434" t="str">
        <f t="shared" si="18"/>
        <v>9:135806021</v>
      </c>
      <c r="D434">
        <v>3</v>
      </c>
      <c r="E434" s="1">
        <v>2.0325203300000001E-2</v>
      </c>
      <c r="F434">
        <v>1</v>
      </c>
      <c r="G434">
        <v>2</v>
      </c>
      <c r="H434" s="4">
        <v>0</v>
      </c>
      <c r="I434">
        <v>3</v>
      </c>
      <c r="J434">
        <v>-1682</v>
      </c>
      <c r="K434">
        <v>0</v>
      </c>
      <c r="L434">
        <v>0</v>
      </c>
      <c r="M434">
        <v>0</v>
      </c>
      <c r="N434">
        <v>0</v>
      </c>
      <c r="O434" t="str">
        <f t="shared" si="19"/>
        <v>C</v>
      </c>
      <c r="P434" t="str">
        <f t="shared" si="20"/>
        <v>A</v>
      </c>
      <c r="Q434">
        <f>IF(M434=0,0,VLOOKUP(M434,'aa codes'!$A$1:'aa codes'!$B$21,2))</f>
        <v>0</v>
      </c>
      <c r="R434">
        <f>IF(N434=0,0,VLOOKUP(N434,'aa codes'!$A$1:'aa codes'!$B$21,2))</f>
        <v>0</v>
      </c>
      <c r="S434" s="1">
        <v>2.0325203300000001E-2</v>
      </c>
      <c r="T434" s="1">
        <v>6.0975609799999997E-3</v>
      </c>
    </row>
    <row r="435" spans="1:20">
      <c r="A435">
        <v>9</v>
      </c>
      <c r="B435">
        <v>135806024</v>
      </c>
      <c r="C435" t="str">
        <f t="shared" si="18"/>
        <v>9:135806024</v>
      </c>
      <c r="D435">
        <v>2</v>
      </c>
      <c r="E435" s="1">
        <v>6.8548387099999997E-2</v>
      </c>
      <c r="F435">
        <v>1</v>
      </c>
      <c r="G435">
        <v>2</v>
      </c>
      <c r="H435" s="4">
        <v>0</v>
      </c>
      <c r="I435">
        <v>3</v>
      </c>
      <c r="J435">
        <v>-1685</v>
      </c>
      <c r="K435">
        <v>0</v>
      </c>
      <c r="L435">
        <v>0</v>
      </c>
      <c r="M435">
        <v>0</v>
      </c>
      <c r="N435">
        <v>0</v>
      </c>
      <c r="O435" t="str">
        <f t="shared" si="19"/>
        <v>G</v>
      </c>
      <c r="P435" t="str">
        <f t="shared" si="20"/>
        <v>A</v>
      </c>
      <c r="Q435">
        <f>IF(M435=0,0,VLOOKUP(M435,'aa codes'!$A$1:'aa codes'!$B$21,2))</f>
        <v>0</v>
      </c>
      <c r="R435">
        <f>IF(N435=0,0,VLOOKUP(N435,'aa codes'!$A$1:'aa codes'!$B$21,2))</f>
        <v>0</v>
      </c>
      <c r="S435" s="1">
        <v>6.8548387099999997E-2</v>
      </c>
      <c r="T435" s="1">
        <v>5.7228915700000001E-2</v>
      </c>
    </row>
    <row r="436" spans="1:20">
      <c r="A436">
        <v>9</v>
      </c>
      <c r="B436">
        <v>135806027</v>
      </c>
      <c r="C436" t="str">
        <f t="shared" si="18"/>
        <v>9:135806027</v>
      </c>
      <c r="D436">
        <v>4</v>
      </c>
      <c r="E436" s="1">
        <v>2.7548209399999999E-2</v>
      </c>
      <c r="F436">
        <v>1</v>
      </c>
      <c r="G436">
        <v>2</v>
      </c>
      <c r="H436" s="4">
        <v>0</v>
      </c>
      <c r="I436">
        <v>3</v>
      </c>
      <c r="J436">
        <v>-1688</v>
      </c>
      <c r="K436">
        <v>0</v>
      </c>
      <c r="L436">
        <v>0</v>
      </c>
      <c r="M436">
        <v>0</v>
      </c>
      <c r="N436">
        <v>0</v>
      </c>
      <c r="O436" t="str">
        <f t="shared" si="19"/>
        <v>T</v>
      </c>
      <c r="P436" t="str">
        <f t="shared" si="20"/>
        <v>A</v>
      </c>
      <c r="Q436">
        <f>IF(M436=0,0,VLOOKUP(M436,'aa codes'!$A$1:'aa codes'!$B$21,2))</f>
        <v>0</v>
      </c>
      <c r="R436">
        <f>IF(N436=0,0,VLOOKUP(N436,'aa codes'!$A$1:'aa codes'!$B$21,2))</f>
        <v>0</v>
      </c>
      <c r="S436" s="1">
        <v>1.40105079E-2</v>
      </c>
      <c r="T436" s="1">
        <v>2.7548209399999999E-2</v>
      </c>
    </row>
    <row r="437" spans="1:20">
      <c r="A437">
        <v>9</v>
      </c>
      <c r="B437">
        <v>135806028</v>
      </c>
      <c r="C437" t="str">
        <f t="shared" si="18"/>
        <v>9:135806028</v>
      </c>
      <c r="D437">
        <v>2</v>
      </c>
      <c r="E437" s="1">
        <v>1.4545454500000001E-2</v>
      </c>
      <c r="F437">
        <v>3</v>
      </c>
      <c r="G437">
        <v>2</v>
      </c>
      <c r="H437" s="4">
        <v>0</v>
      </c>
      <c r="I437">
        <v>3</v>
      </c>
      <c r="J437">
        <v>-1689</v>
      </c>
      <c r="K437">
        <v>0</v>
      </c>
      <c r="L437">
        <v>0</v>
      </c>
      <c r="M437">
        <v>0</v>
      </c>
      <c r="N437">
        <v>0</v>
      </c>
      <c r="O437" t="str">
        <f t="shared" si="19"/>
        <v>G</v>
      </c>
      <c r="P437" t="str">
        <f t="shared" si="20"/>
        <v>C</v>
      </c>
      <c r="Q437">
        <f>IF(M437=0,0,VLOOKUP(M437,'aa codes'!$A$1:'aa codes'!$B$21,2))</f>
        <v>0</v>
      </c>
      <c r="R437">
        <f>IF(N437=0,0,VLOOKUP(N437,'aa codes'!$A$1:'aa codes'!$B$21,2))</f>
        <v>0</v>
      </c>
      <c r="S437" s="1">
        <v>1.4545454500000001E-2</v>
      </c>
      <c r="T437" s="1">
        <v>8.7209302299999999E-3</v>
      </c>
    </row>
    <row r="438" spans="1:20">
      <c r="A438">
        <v>9</v>
      </c>
      <c r="B438">
        <v>135806030</v>
      </c>
      <c r="C438" t="str">
        <f t="shared" si="18"/>
        <v>9:135806030</v>
      </c>
      <c r="D438">
        <v>3</v>
      </c>
      <c r="E438" s="1">
        <v>5.4844606899999999E-3</v>
      </c>
      <c r="F438">
        <v>1</v>
      </c>
      <c r="G438">
        <v>1</v>
      </c>
      <c r="H438" s="4">
        <v>0</v>
      </c>
      <c r="I438">
        <v>3</v>
      </c>
      <c r="J438">
        <v>-1691</v>
      </c>
      <c r="K438">
        <v>0</v>
      </c>
      <c r="L438">
        <v>0</v>
      </c>
      <c r="M438">
        <v>0</v>
      </c>
      <c r="N438">
        <v>0</v>
      </c>
      <c r="O438" t="str">
        <f t="shared" si="19"/>
        <v>C</v>
      </c>
      <c r="P438" t="str">
        <f t="shared" si="20"/>
        <v>A</v>
      </c>
      <c r="Q438">
        <f>IF(M438=0,0,VLOOKUP(M438,'aa codes'!$A$1:'aa codes'!$B$21,2))</f>
        <v>0</v>
      </c>
      <c r="R438">
        <f>IF(N438=0,0,VLOOKUP(N438,'aa codes'!$A$1:'aa codes'!$B$21,2))</f>
        <v>0</v>
      </c>
      <c r="S438" s="1">
        <v>5.4844606899999999E-3</v>
      </c>
      <c r="T438" s="1">
        <v>0</v>
      </c>
    </row>
    <row r="439" spans="1:20">
      <c r="A439">
        <v>9</v>
      </c>
      <c r="B439">
        <v>135806036</v>
      </c>
      <c r="C439" t="str">
        <f t="shared" si="18"/>
        <v>9:135806036</v>
      </c>
      <c r="D439">
        <v>4</v>
      </c>
      <c r="E439" s="1">
        <v>8.8028168999999996E-3</v>
      </c>
      <c r="F439">
        <v>1</v>
      </c>
      <c r="G439">
        <v>2</v>
      </c>
      <c r="H439" s="4">
        <v>0</v>
      </c>
      <c r="I439">
        <v>3</v>
      </c>
      <c r="J439">
        <v>-1697</v>
      </c>
      <c r="K439">
        <v>0</v>
      </c>
      <c r="L439">
        <v>0</v>
      </c>
      <c r="M439">
        <v>0</v>
      </c>
      <c r="N439">
        <v>0</v>
      </c>
      <c r="O439" t="str">
        <f t="shared" si="19"/>
        <v>T</v>
      </c>
      <c r="P439" t="str">
        <f t="shared" si="20"/>
        <v>A</v>
      </c>
      <c r="Q439">
        <f>IF(M439=0,0,VLOOKUP(M439,'aa codes'!$A$1:'aa codes'!$B$21,2))</f>
        <v>0</v>
      </c>
      <c r="R439">
        <f>IF(N439=0,0,VLOOKUP(N439,'aa codes'!$A$1:'aa codes'!$B$21,2))</f>
        <v>0</v>
      </c>
      <c r="S439" s="1">
        <v>8.8028168999999996E-3</v>
      </c>
      <c r="T439" s="1">
        <v>5.0632911399999996E-3</v>
      </c>
    </row>
    <row r="440" spans="1:20">
      <c r="A440">
        <v>9</v>
      </c>
      <c r="B440">
        <v>135806040</v>
      </c>
      <c r="C440" t="str">
        <f t="shared" si="18"/>
        <v>9:135806040</v>
      </c>
      <c r="D440">
        <v>4</v>
      </c>
      <c r="E440" s="1">
        <v>6.24024961E-3</v>
      </c>
      <c r="F440">
        <v>1</v>
      </c>
      <c r="G440">
        <v>1</v>
      </c>
      <c r="H440" s="4">
        <v>0</v>
      </c>
      <c r="I440">
        <v>3</v>
      </c>
      <c r="J440">
        <v>-1701</v>
      </c>
      <c r="K440">
        <v>0</v>
      </c>
      <c r="L440">
        <v>0</v>
      </c>
      <c r="M440">
        <v>0</v>
      </c>
      <c r="N440">
        <v>0</v>
      </c>
      <c r="O440" t="str">
        <f t="shared" si="19"/>
        <v>T</v>
      </c>
      <c r="P440" t="str">
        <f t="shared" si="20"/>
        <v>A</v>
      </c>
      <c r="Q440">
        <f>IF(M440=0,0,VLOOKUP(M440,'aa codes'!$A$1:'aa codes'!$B$21,2))</f>
        <v>0</v>
      </c>
      <c r="R440">
        <f>IF(N440=0,0,VLOOKUP(N440,'aa codes'!$A$1:'aa codes'!$B$21,2))</f>
        <v>0</v>
      </c>
      <c r="S440" s="1">
        <v>6.24024961E-3</v>
      </c>
      <c r="T440" s="1">
        <v>4.7961630699999997E-3</v>
      </c>
    </row>
    <row r="441" spans="1:20">
      <c r="A441">
        <v>9</v>
      </c>
      <c r="B441">
        <v>135806043</v>
      </c>
      <c r="C441" t="str">
        <f t="shared" si="18"/>
        <v>9:135806043</v>
      </c>
      <c r="D441">
        <v>2</v>
      </c>
      <c r="E441" s="1">
        <v>9.3457943900000003E-3</v>
      </c>
      <c r="F441">
        <v>1</v>
      </c>
      <c r="G441">
        <v>2</v>
      </c>
      <c r="H441" s="4">
        <v>0</v>
      </c>
      <c r="I441">
        <v>3</v>
      </c>
      <c r="J441">
        <v>-1704</v>
      </c>
      <c r="K441">
        <v>0</v>
      </c>
      <c r="L441">
        <v>0</v>
      </c>
      <c r="M441">
        <v>0</v>
      </c>
      <c r="N441">
        <v>0</v>
      </c>
      <c r="O441" t="str">
        <f t="shared" si="19"/>
        <v>G</v>
      </c>
      <c r="P441" t="str">
        <f t="shared" si="20"/>
        <v>A</v>
      </c>
      <c r="Q441">
        <f>IF(M441=0,0,VLOOKUP(M441,'aa codes'!$A$1:'aa codes'!$B$21,2))</f>
        <v>0</v>
      </c>
      <c r="R441">
        <f>IF(N441=0,0,VLOOKUP(N441,'aa codes'!$A$1:'aa codes'!$B$21,2))</f>
        <v>0</v>
      </c>
      <c r="S441" s="1">
        <v>6.54664484E-3</v>
      </c>
      <c r="T441" s="1">
        <v>9.3457943900000003E-3</v>
      </c>
    </row>
    <row r="442" spans="1:20">
      <c r="A442">
        <v>9</v>
      </c>
      <c r="B442">
        <v>135806048</v>
      </c>
      <c r="C442" t="str">
        <f t="shared" si="18"/>
        <v>9:135806048</v>
      </c>
      <c r="D442">
        <v>2</v>
      </c>
      <c r="E442" s="1">
        <v>9.1743119299999999E-3</v>
      </c>
      <c r="F442">
        <v>1</v>
      </c>
      <c r="G442">
        <v>1</v>
      </c>
      <c r="H442" s="4">
        <v>0</v>
      </c>
      <c r="I442">
        <v>3</v>
      </c>
      <c r="J442">
        <v>-1709</v>
      </c>
      <c r="K442">
        <v>0</v>
      </c>
      <c r="L442">
        <v>0</v>
      </c>
      <c r="M442">
        <v>0</v>
      </c>
      <c r="N442">
        <v>0</v>
      </c>
      <c r="O442" t="str">
        <f t="shared" si="19"/>
        <v>G</v>
      </c>
      <c r="P442" t="str">
        <f t="shared" si="20"/>
        <v>A</v>
      </c>
      <c r="Q442">
        <f>IF(M442=0,0,VLOOKUP(M442,'aa codes'!$A$1:'aa codes'!$B$21,2))</f>
        <v>0</v>
      </c>
      <c r="R442">
        <f>IF(N442=0,0,VLOOKUP(N442,'aa codes'!$A$1:'aa codes'!$B$21,2))</f>
        <v>0</v>
      </c>
      <c r="S442" s="1">
        <v>9.1743119299999999E-3</v>
      </c>
      <c r="T442" s="1">
        <v>4.5045045000000001E-3</v>
      </c>
    </row>
    <row r="443" spans="1:20">
      <c r="A443">
        <v>9</v>
      </c>
      <c r="B443">
        <v>135808559</v>
      </c>
      <c r="C443" t="str">
        <f t="shared" si="18"/>
        <v>9:135808559</v>
      </c>
      <c r="D443">
        <v>4</v>
      </c>
      <c r="E443" s="1">
        <v>5.6179775300000002E-3</v>
      </c>
      <c r="F443">
        <v>3</v>
      </c>
      <c r="G443">
        <v>1</v>
      </c>
      <c r="H443" s="4">
        <v>0</v>
      </c>
      <c r="I443">
        <v>2</v>
      </c>
      <c r="J443">
        <v>1861</v>
      </c>
      <c r="K443">
        <v>0</v>
      </c>
      <c r="L443">
        <v>0</v>
      </c>
      <c r="M443">
        <v>0</v>
      </c>
      <c r="N443">
        <v>0</v>
      </c>
      <c r="O443" t="str">
        <f t="shared" si="19"/>
        <v>T</v>
      </c>
      <c r="P443" t="str">
        <f t="shared" si="20"/>
        <v>C</v>
      </c>
      <c r="Q443">
        <f>IF(M443=0,0,VLOOKUP(M443,'aa codes'!$A$1:'aa codes'!$B$21,2))</f>
        <v>0</v>
      </c>
      <c r="R443">
        <f>IF(N443=0,0,VLOOKUP(N443,'aa codes'!$A$1:'aa codes'!$B$21,2))</f>
        <v>0</v>
      </c>
      <c r="S443" s="1">
        <v>0</v>
      </c>
      <c r="T443" s="1">
        <v>5.6179775300000002E-3</v>
      </c>
    </row>
    <row r="444" spans="1:20">
      <c r="A444">
        <v>9</v>
      </c>
      <c r="B444">
        <v>135808564</v>
      </c>
      <c r="C444" t="str">
        <f t="shared" si="18"/>
        <v>9:135808564</v>
      </c>
      <c r="D444">
        <v>4</v>
      </c>
      <c r="E444" s="1">
        <v>5.6818181800000001E-3</v>
      </c>
      <c r="F444">
        <v>3</v>
      </c>
      <c r="G444">
        <v>1</v>
      </c>
      <c r="H444" s="4">
        <v>0</v>
      </c>
      <c r="I444">
        <v>2</v>
      </c>
      <c r="J444">
        <v>1856</v>
      </c>
      <c r="K444">
        <v>0</v>
      </c>
      <c r="L444">
        <v>0</v>
      </c>
      <c r="M444">
        <v>0</v>
      </c>
      <c r="N444">
        <v>0</v>
      </c>
      <c r="O444" t="str">
        <f t="shared" si="19"/>
        <v>T</v>
      </c>
      <c r="P444" t="str">
        <f t="shared" si="20"/>
        <v>C</v>
      </c>
      <c r="Q444">
        <f>IF(M444=0,0,VLOOKUP(M444,'aa codes'!$A$1:'aa codes'!$B$21,2))</f>
        <v>0</v>
      </c>
      <c r="R444">
        <f>IF(N444=0,0,VLOOKUP(N444,'aa codes'!$A$1:'aa codes'!$B$21,2))</f>
        <v>0</v>
      </c>
      <c r="S444" s="1">
        <v>2.2321428599999999E-3</v>
      </c>
      <c r="T444" s="1">
        <v>5.6818181800000001E-3</v>
      </c>
    </row>
    <row r="445" spans="1:20">
      <c r="A445">
        <v>9</v>
      </c>
      <c r="B445">
        <v>135808565</v>
      </c>
      <c r="C445" t="str">
        <f t="shared" si="18"/>
        <v>9:135808565</v>
      </c>
      <c r="D445">
        <v>2</v>
      </c>
      <c r="E445" s="1">
        <v>1.1049723799999999E-2</v>
      </c>
      <c r="F445">
        <v>1</v>
      </c>
      <c r="G445">
        <v>1</v>
      </c>
      <c r="H445" s="4">
        <v>3.2299999999999999E-5</v>
      </c>
      <c r="I445">
        <v>2</v>
      </c>
      <c r="J445">
        <v>1855</v>
      </c>
      <c r="K445">
        <v>0</v>
      </c>
      <c r="L445">
        <v>0</v>
      </c>
      <c r="M445">
        <v>0</v>
      </c>
      <c r="N445">
        <v>0</v>
      </c>
      <c r="O445" t="str">
        <f t="shared" si="19"/>
        <v>G</v>
      </c>
      <c r="P445" t="str">
        <f t="shared" si="20"/>
        <v>A</v>
      </c>
      <c r="Q445">
        <f>IF(M445=0,0,VLOOKUP(M445,'aa codes'!$A$1:'aa codes'!$B$21,2))</f>
        <v>0</v>
      </c>
      <c r="R445">
        <f>IF(N445=0,0,VLOOKUP(N445,'aa codes'!$A$1:'aa codes'!$B$21,2))</f>
        <v>0</v>
      </c>
      <c r="S445" s="1">
        <v>0</v>
      </c>
      <c r="T445" s="1">
        <v>1.1049723799999999E-2</v>
      </c>
    </row>
    <row r="446" spans="1:20">
      <c r="A446">
        <v>9</v>
      </c>
      <c r="B446">
        <v>135808569</v>
      </c>
      <c r="C446" t="str">
        <f t="shared" si="18"/>
        <v>9:135808569</v>
      </c>
      <c r="D446">
        <v>3</v>
      </c>
      <c r="E446" s="1">
        <v>5.9171597600000004E-3</v>
      </c>
      <c r="F446">
        <v>4</v>
      </c>
      <c r="G446">
        <v>1</v>
      </c>
      <c r="H446" s="4">
        <v>0</v>
      </c>
      <c r="I446">
        <v>2</v>
      </c>
      <c r="J446">
        <v>1851</v>
      </c>
      <c r="K446">
        <v>0</v>
      </c>
      <c r="L446">
        <v>0</v>
      </c>
      <c r="M446">
        <v>0</v>
      </c>
      <c r="N446">
        <v>0</v>
      </c>
      <c r="O446" t="str">
        <f t="shared" si="19"/>
        <v>C</v>
      </c>
      <c r="P446" t="str">
        <f t="shared" si="20"/>
        <v>T</v>
      </c>
      <c r="Q446">
        <f>IF(M446=0,0,VLOOKUP(M446,'aa codes'!$A$1:'aa codes'!$B$21,2))</f>
        <v>0</v>
      </c>
      <c r="R446">
        <f>IF(N446=0,0,VLOOKUP(N446,'aa codes'!$A$1:'aa codes'!$B$21,2))</f>
        <v>0</v>
      </c>
      <c r="S446" s="1">
        <v>0</v>
      </c>
      <c r="T446" s="1">
        <v>5.9171597600000004E-3</v>
      </c>
    </row>
    <row r="447" spans="1:20">
      <c r="A447">
        <v>9</v>
      </c>
      <c r="B447">
        <v>135808570</v>
      </c>
      <c r="C447" t="str">
        <f t="shared" si="18"/>
        <v>9:135808570</v>
      </c>
      <c r="D447">
        <v>1</v>
      </c>
      <c r="E447" s="1">
        <v>6.0606060600000003E-3</v>
      </c>
      <c r="F447">
        <v>2</v>
      </c>
      <c r="G447">
        <v>1</v>
      </c>
      <c r="H447" s="4">
        <v>0</v>
      </c>
      <c r="I447">
        <v>2</v>
      </c>
      <c r="J447">
        <v>1850</v>
      </c>
      <c r="K447">
        <v>0</v>
      </c>
      <c r="L447">
        <v>0</v>
      </c>
      <c r="M447">
        <v>0</v>
      </c>
      <c r="N447">
        <v>0</v>
      </c>
      <c r="O447" t="str">
        <f t="shared" si="19"/>
        <v>A</v>
      </c>
      <c r="P447" t="str">
        <f t="shared" si="20"/>
        <v>G</v>
      </c>
      <c r="Q447">
        <f>IF(M447=0,0,VLOOKUP(M447,'aa codes'!$A$1:'aa codes'!$B$21,2))</f>
        <v>0</v>
      </c>
      <c r="R447">
        <f>IF(N447=0,0,VLOOKUP(N447,'aa codes'!$A$1:'aa codes'!$B$21,2))</f>
        <v>0</v>
      </c>
      <c r="S447" s="1">
        <v>0</v>
      </c>
      <c r="T447" s="1">
        <v>6.0606060600000003E-3</v>
      </c>
    </row>
    <row r="448" spans="1:20">
      <c r="A448">
        <v>9</v>
      </c>
      <c r="B448">
        <v>135808578</v>
      </c>
      <c r="C448" t="str">
        <f t="shared" si="18"/>
        <v>9:135808578</v>
      </c>
      <c r="D448">
        <v>2</v>
      </c>
      <c r="E448" s="1">
        <v>6.2111801199999997E-3</v>
      </c>
      <c r="F448">
        <v>1</v>
      </c>
      <c r="G448">
        <v>1</v>
      </c>
      <c r="H448" s="4">
        <v>0</v>
      </c>
      <c r="I448">
        <v>2</v>
      </c>
      <c r="J448">
        <v>1842</v>
      </c>
      <c r="K448">
        <v>0</v>
      </c>
      <c r="L448">
        <v>0</v>
      </c>
      <c r="M448">
        <v>0</v>
      </c>
      <c r="N448">
        <v>0</v>
      </c>
      <c r="O448" t="str">
        <f t="shared" si="19"/>
        <v>G</v>
      </c>
      <c r="P448" t="str">
        <f t="shared" si="20"/>
        <v>A</v>
      </c>
      <c r="Q448">
        <f>IF(M448=0,0,VLOOKUP(M448,'aa codes'!$A$1:'aa codes'!$B$21,2))</f>
        <v>0</v>
      </c>
      <c r="R448">
        <f>IF(N448=0,0,VLOOKUP(N448,'aa codes'!$A$1:'aa codes'!$B$21,2))</f>
        <v>0</v>
      </c>
      <c r="S448" s="1">
        <v>0</v>
      </c>
      <c r="T448" s="1">
        <v>6.2111801199999997E-3</v>
      </c>
    </row>
    <row r="449" spans="1:20">
      <c r="A449">
        <v>9</v>
      </c>
      <c r="B449">
        <v>135808587</v>
      </c>
      <c r="C449" t="str">
        <f t="shared" si="18"/>
        <v>9:135808587</v>
      </c>
      <c r="D449">
        <v>1</v>
      </c>
      <c r="E449" s="1">
        <v>6.7114093999999999E-3</v>
      </c>
      <c r="F449">
        <v>2</v>
      </c>
      <c r="G449">
        <v>1</v>
      </c>
      <c r="H449" s="4">
        <v>0</v>
      </c>
      <c r="I449">
        <v>2</v>
      </c>
      <c r="J449">
        <v>1833</v>
      </c>
      <c r="K449">
        <v>0</v>
      </c>
      <c r="L449">
        <v>0</v>
      </c>
      <c r="M449">
        <v>0</v>
      </c>
      <c r="N449">
        <v>0</v>
      </c>
      <c r="O449" t="str">
        <f t="shared" si="19"/>
        <v>A</v>
      </c>
      <c r="P449" t="str">
        <f t="shared" si="20"/>
        <v>G</v>
      </c>
      <c r="Q449">
        <f>IF(M449=0,0,VLOOKUP(M449,'aa codes'!$A$1:'aa codes'!$B$21,2))</f>
        <v>0</v>
      </c>
      <c r="R449">
        <f>IF(N449=0,0,VLOOKUP(N449,'aa codes'!$A$1:'aa codes'!$B$21,2))</f>
        <v>0</v>
      </c>
      <c r="S449" s="1">
        <v>2.63157895E-3</v>
      </c>
      <c r="T449" s="1">
        <v>6.7114093999999999E-3</v>
      </c>
    </row>
    <row r="450" spans="1:20">
      <c r="A450">
        <v>9</v>
      </c>
      <c r="B450">
        <v>135808592</v>
      </c>
      <c r="C450" t="str">
        <f t="shared" si="18"/>
        <v>9:135808592</v>
      </c>
      <c r="D450">
        <v>1</v>
      </c>
      <c r="E450" s="1">
        <v>6.9444444400000001E-3</v>
      </c>
      <c r="F450">
        <v>2</v>
      </c>
      <c r="G450">
        <v>1</v>
      </c>
      <c r="H450" s="4">
        <v>0</v>
      </c>
      <c r="I450">
        <v>2</v>
      </c>
      <c r="J450">
        <v>1828</v>
      </c>
      <c r="K450">
        <v>0</v>
      </c>
      <c r="L450">
        <v>0</v>
      </c>
      <c r="M450">
        <v>0</v>
      </c>
      <c r="N450">
        <v>0</v>
      </c>
      <c r="O450" t="str">
        <f t="shared" si="19"/>
        <v>A</v>
      </c>
      <c r="P450" t="str">
        <f t="shared" si="20"/>
        <v>G</v>
      </c>
      <c r="Q450">
        <f>IF(M450=0,0,VLOOKUP(M450,'aa codes'!$A$1:'aa codes'!$B$21,2))</f>
        <v>0</v>
      </c>
      <c r="R450">
        <f>IF(N450=0,0,VLOOKUP(N450,'aa codes'!$A$1:'aa codes'!$B$21,2))</f>
        <v>0</v>
      </c>
      <c r="S450" s="1">
        <v>0</v>
      </c>
      <c r="T450" s="1">
        <v>6.9444444400000001E-3</v>
      </c>
    </row>
    <row r="451" spans="1:20">
      <c r="A451">
        <v>9</v>
      </c>
      <c r="B451">
        <v>135808597</v>
      </c>
      <c r="C451" t="str">
        <f t="shared" ref="C451:C506" si="21">A451&amp;":"&amp;B451</f>
        <v>9:135808597</v>
      </c>
      <c r="D451">
        <v>3</v>
      </c>
      <c r="E451" s="1">
        <v>7.2463768099999999E-3</v>
      </c>
      <c r="F451">
        <v>4</v>
      </c>
      <c r="G451">
        <v>1</v>
      </c>
      <c r="H451" s="4">
        <v>0</v>
      </c>
      <c r="I451">
        <v>2</v>
      </c>
      <c r="J451">
        <v>1823</v>
      </c>
      <c r="K451">
        <v>0</v>
      </c>
      <c r="L451">
        <v>0</v>
      </c>
      <c r="M451">
        <v>0</v>
      </c>
      <c r="N451">
        <v>0</v>
      </c>
      <c r="O451" t="str">
        <f t="shared" ref="O451:O506" si="22">IF(D451=1,"A",IF(D451=2,"G",IF(D451=3,"C",IF(D451=4,"T","2NT"))))</f>
        <v>C</v>
      </c>
      <c r="P451" t="str">
        <f t="shared" ref="P451:P506" si="23">IF(F451=1,"A",IF(F451=2,"G",IF(F451=3,"C",IF(F451=4,"T","2NT"))))</f>
        <v>T</v>
      </c>
      <c r="Q451">
        <f>IF(M451=0,0,VLOOKUP(M451,'aa codes'!$A$1:'aa codes'!$B$21,2))</f>
        <v>0</v>
      </c>
      <c r="R451">
        <f>IF(N451=0,0,VLOOKUP(N451,'aa codes'!$A$1:'aa codes'!$B$21,2))</f>
        <v>0</v>
      </c>
      <c r="S451" s="1">
        <v>0</v>
      </c>
      <c r="T451" s="1">
        <v>7.2463768099999999E-3</v>
      </c>
    </row>
    <row r="452" spans="1:20">
      <c r="A452">
        <v>9</v>
      </c>
      <c r="B452">
        <v>135808633</v>
      </c>
      <c r="C452" t="str">
        <f t="shared" si="21"/>
        <v>9:135808633</v>
      </c>
      <c r="D452">
        <v>3</v>
      </c>
      <c r="E452" s="1">
        <v>5.3475935799999997E-3</v>
      </c>
      <c r="F452">
        <v>1</v>
      </c>
      <c r="G452">
        <v>1</v>
      </c>
      <c r="H452" s="4">
        <v>0</v>
      </c>
      <c r="I452">
        <v>2</v>
      </c>
      <c r="J452">
        <v>1787</v>
      </c>
      <c r="K452">
        <v>0</v>
      </c>
      <c r="L452">
        <v>0</v>
      </c>
      <c r="M452">
        <v>0</v>
      </c>
      <c r="N452">
        <v>0</v>
      </c>
      <c r="O452" t="str">
        <f t="shared" si="22"/>
        <v>C</v>
      </c>
      <c r="P452" t="str">
        <f t="shared" si="23"/>
        <v>A</v>
      </c>
      <c r="Q452">
        <f>IF(M452=0,0,VLOOKUP(M452,'aa codes'!$A$1:'aa codes'!$B$21,2))</f>
        <v>0</v>
      </c>
      <c r="R452">
        <f>IF(N452=0,0,VLOOKUP(N452,'aa codes'!$A$1:'aa codes'!$B$21,2))</f>
        <v>0</v>
      </c>
      <c r="S452" s="1">
        <v>2.8011204500000002E-3</v>
      </c>
      <c r="T452" s="1">
        <v>5.3475935799999997E-3</v>
      </c>
    </row>
    <row r="453" spans="1:20">
      <c r="A453">
        <v>9</v>
      </c>
      <c r="B453">
        <v>135808634</v>
      </c>
      <c r="C453" t="str">
        <f t="shared" si="21"/>
        <v>9:135808634</v>
      </c>
      <c r="D453">
        <v>2</v>
      </c>
      <c r="E453" s="1">
        <v>5.4054054100000004E-3</v>
      </c>
      <c r="F453">
        <v>1</v>
      </c>
      <c r="G453">
        <v>1</v>
      </c>
      <c r="H453" s="4">
        <v>0</v>
      </c>
      <c r="I453">
        <v>2</v>
      </c>
      <c r="J453">
        <v>1786</v>
      </c>
      <c r="K453">
        <v>0</v>
      </c>
      <c r="L453">
        <v>0</v>
      </c>
      <c r="M453">
        <v>0</v>
      </c>
      <c r="N453">
        <v>0</v>
      </c>
      <c r="O453" t="str">
        <f t="shared" si="22"/>
        <v>G</v>
      </c>
      <c r="P453" t="str">
        <f t="shared" si="23"/>
        <v>A</v>
      </c>
      <c r="Q453">
        <f>IF(M453=0,0,VLOOKUP(M453,'aa codes'!$A$1:'aa codes'!$B$21,2))</f>
        <v>0</v>
      </c>
      <c r="R453">
        <f>IF(N453=0,0,VLOOKUP(N453,'aa codes'!$A$1:'aa codes'!$B$21,2))</f>
        <v>0</v>
      </c>
      <c r="S453" s="1">
        <v>0</v>
      </c>
      <c r="T453" s="1">
        <v>5.4054054100000004E-3</v>
      </c>
    </row>
    <row r="454" spans="1:20">
      <c r="A454">
        <v>9</v>
      </c>
      <c r="B454">
        <v>135808645</v>
      </c>
      <c r="C454" t="str">
        <f t="shared" si="21"/>
        <v>9:135808645</v>
      </c>
      <c r="D454">
        <v>2</v>
      </c>
      <c r="E454" s="1">
        <v>5.3763440900000004E-3</v>
      </c>
      <c r="F454">
        <v>1</v>
      </c>
      <c r="G454">
        <v>1</v>
      </c>
      <c r="H454" s="4">
        <v>0</v>
      </c>
      <c r="I454">
        <v>2</v>
      </c>
      <c r="J454">
        <v>1775</v>
      </c>
      <c r="K454">
        <v>0</v>
      </c>
      <c r="L454">
        <v>0</v>
      </c>
      <c r="M454">
        <v>0</v>
      </c>
      <c r="N454">
        <v>0</v>
      </c>
      <c r="O454" t="str">
        <f t="shared" si="22"/>
        <v>G</v>
      </c>
      <c r="P454" t="str">
        <f t="shared" si="23"/>
        <v>A</v>
      </c>
      <c r="Q454">
        <f>IF(M454=0,0,VLOOKUP(M454,'aa codes'!$A$1:'aa codes'!$B$21,2))</f>
        <v>0</v>
      </c>
      <c r="R454">
        <f>IF(N454=0,0,VLOOKUP(N454,'aa codes'!$A$1:'aa codes'!$B$21,2))</f>
        <v>0</v>
      </c>
      <c r="S454" s="1">
        <v>0</v>
      </c>
      <c r="T454" s="1">
        <v>5.3763440900000004E-3</v>
      </c>
    </row>
    <row r="455" spans="1:20">
      <c r="A455">
        <v>9</v>
      </c>
      <c r="B455">
        <v>135808649</v>
      </c>
      <c r="C455" t="str">
        <f t="shared" si="21"/>
        <v>9:135808649</v>
      </c>
      <c r="D455">
        <v>4</v>
      </c>
      <c r="E455" s="1">
        <v>5.49450549E-3</v>
      </c>
      <c r="F455">
        <v>3</v>
      </c>
      <c r="G455">
        <v>1</v>
      </c>
      <c r="H455" s="4">
        <v>0</v>
      </c>
      <c r="I455">
        <v>2</v>
      </c>
      <c r="J455">
        <v>1771</v>
      </c>
      <c r="K455">
        <v>0</v>
      </c>
      <c r="L455">
        <v>0</v>
      </c>
      <c r="M455">
        <v>0</v>
      </c>
      <c r="N455">
        <v>0</v>
      </c>
      <c r="O455" t="str">
        <f t="shared" si="22"/>
        <v>T</v>
      </c>
      <c r="P455" t="str">
        <f t="shared" si="23"/>
        <v>C</v>
      </c>
      <c r="Q455">
        <f>IF(M455=0,0,VLOOKUP(M455,'aa codes'!$A$1:'aa codes'!$B$21,2))</f>
        <v>0</v>
      </c>
      <c r="R455">
        <f>IF(N455=0,0,VLOOKUP(N455,'aa codes'!$A$1:'aa codes'!$B$21,2))</f>
        <v>0</v>
      </c>
      <c r="S455" s="1">
        <v>0</v>
      </c>
      <c r="T455" s="1">
        <v>5.49450549E-3</v>
      </c>
    </row>
    <row r="456" spans="1:20">
      <c r="A456">
        <v>9</v>
      </c>
      <c r="B456">
        <v>135808653</v>
      </c>
      <c r="C456" t="str">
        <f t="shared" si="21"/>
        <v>9:135808653</v>
      </c>
      <c r="D456">
        <v>1</v>
      </c>
      <c r="E456" s="1">
        <v>5.4644808699999999E-3</v>
      </c>
      <c r="F456">
        <v>2</v>
      </c>
      <c r="G456">
        <v>1</v>
      </c>
      <c r="H456" s="4">
        <v>3.2299999999999999E-5</v>
      </c>
      <c r="I456">
        <v>2</v>
      </c>
      <c r="J456">
        <v>1767</v>
      </c>
      <c r="K456">
        <v>0</v>
      </c>
      <c r="L456">
        <v>0</v>
      </c>
      <c r="M456">
        <v>0</v>
      </c>
      <c r="N456">
        <v>0</v>
      </c>
      <c r="O456" t="str">
        <f t="shared" si="22"/>
        <v>A</v>
      </c>
      <c r="P456" t="str">
        <f t="shared" si="23"/>
        <v>G</v>
      </c>
      <c r="Q456">
        <f>IF(M456=0,0,VLOOKUP(M456,'aa codes'!$A$1:'aa codes'!$B$21,2))</f>
        <v>0</v>
      </c>
      <c r="R456">
        <f>IF(N456=0,0,VLOOKUP(N456,'aa codes'!$A$1:'aa codes'!$B$21,2))</f>
        <v>0</v>
      </c>
      <c r="S456" s="1">
        <v>0</v>
      </c>
      <c r="T456" s="1">
        <v>5.4644808699999999E-3</v>
      </c>
    </row>
    <row r="457" spans="1:20">
      <c r="A457">
        <v>9</v>
      </c>
      <c r="B457">
        <v>135808658</v>
      </c>
      <c r="C457" t="str">
        <f t="shared" si="21"/>
        <v>9:135808658</v>
      </c>
      <c r="D457">
        <v>2</v>
      </c>
      <c r="E457" s="1">
        <v>5.5555555599999997E-3</v>
      </c>
      <c r="F457">
        <v>1</v>
      </c>
      <c r="G457">
        <v>1</v>
      </c>
      <c r="H457" s="4">
        <v>0</v>
      </c>
      <c r="I457">
        <v>2</v>
      </c>
      <c r="J457">
        <v>1762</v>
      </c>
      <c r="K457">
        <v>0</v>
      </c>
      <c r="L457">
        <v>0</v>
      </c>
      <c r="M457">
        <v>0</v>
      </c>
      <c r="N457">
        <v>0</v>
      </c>
      <c r="O457" t="str">
        <f t="shared" si="22"/>
        <v>G</v>
      </c>
      <c r="P457" t="str">
        <f t="shared" si="23"/>
        <v>A</v>
      </c>
      <c r="Q457">
        <f>IF(M457=0,0,VLOOKUP(M457,'aa codes'!$A$1:'aa codes'!$B$21,2))</f>
        <v>0</v>
      </c>
      <c r="R457">
        <f>IF(N457=0,0,VLOOKUP(N457,'aa codes'!$A$1:'aa codes'!$B$21,2))</f>
        <v>0</v>
      </c>
      <c r="S457" s="1">
        <v>0</v>
      </c>
      <c r="T457" s="1">
        <v>5.5555555599999997E-3</v>
      </c>
    </row>
    <row r="458" spans="1:20">
      <c r="A458">
        <v>9</v>
      </c>
      <c r="B458">
        <v>135808665</v>
      </c>
      <c r="C458" t="str">
        <f t="shared" si="21"/>
        <v>9:135808665</v>
      </c>
      <c r="D458">
        <v>3</v>
      </c>
      <c r="E458" s="1">
        <v>5.1546391800000001E-3</v>
      </c>
      <c r="F458">
        <v>1</v>
      </c>
      <c r="G458">
        <v>1</v>
      </c>
      <c r="H458" s="4">
        <v>0</v>
      </c>
      <c r="I458">
        <v>2</v>
      </c>
      <c r="J458">
        <v>1755</v>
      </c>
      <c r="K458">
        <v>0</v>
      </c>
      <c r="L458">
        <v>0</v>
      </c>
      <c r="M458">
        <v>0</v>
      </c>
      <c r="N458">
        <v>0</v>
      </c>
      <c r="O458" t="str">
        <f t="shared" si="22"/>
        <v>C</v>
      </c>
      <c r="P458" t="str">
        <f t="shared" si="23"/>
        <v>A</v>
      </c>
      <c r="Q458">
        <f>IF(M458=0,0,VLOOKUP(M458,'aa codes'!$A$1:'aa codes'!$B$21,2))</f>
        <v>0</v>
      </c>
      <c r="R458">
        <f>IF(N458=0,0,VLOOKUP(N458,'aa codes'!$A$1:'aa codes'!$B$21,2))</f>
        <v>0</v>
      </c>
      <c r="S458" s="1">
        <v>0</v>
      </c>
      <c r="T458" s="1">
        <v>5.1546391800000001E-3</v>
      </c>
    </row>
    <row r="459" spans="1:20">
      <c r="A459">
        <v>9</v>
      </c>
      <c r="B459">
        <v>135808684</v>
      </c>
      <c r="C459" t="str">
        <f t="shared" si="21"/>
        <v>9:135808684</v>
      </c>
      <c r="D459">
        <v>3</v>
      </c>
      <c r="E459" s="1">
        <v>5.0000000000000001E-3</v>
      </c>
      <c r="F459">
        <v>4</v>
      </c>
      <c r="G459">
        <v>1</v>
      </c>
      <c r="H459" s="4">
        <v>0</v>
      </c>
      <c r="I459">
        <v>2</v>
      </c>
      <c r="J459">
        <v>1736</v>
      </c>
      <c r="K459">
        <v>0</v>
      </c>
      <c r="L459">
        <v>0</v>
      </c>
      <c r="M459">
        <v>0</v>
      </c>
      <c r="N459">
        <v>0</v>
      </c>
      <c r="O459" t="str">
        <f t="shared" si="22"/>
        <v>C</v>
      </c>
      <c r="P459" t="str">
        <f t="shared" si="23"/>
        <v>T</v>
      </c>
      <c r="Q459">
        <f>IF(M459=0,0,VLOOKUP(M459,'aa codes'!$A$1:'aa codes'!$B$21,2))</f>
        <v>0</v>
      </c>
      <c r="R459">
        <f>IF(N459=0,0,VLOOKUP(N459,'aa codes'!$A$1:'aa codes'!$B$21,2))</f>
        <v>0</v>
      </c>
      <c r="S459" s="1">
        <v>2.2988505700000002E-3</v>
      </c>
      <c r="T459" s="1">
        <v>5.0000000000000001E-3</v>
      </c>
    </row>
    <row r="460" spans="1:20">
      <c r="A460">
        <v>9</v>
      </c>
      <c r="B460">
        <v>135808729</v>
      </c>
      <c r="C460" t="str">
        <f t="shared" si="21"/>
        <v>9:135808729</v>
      </c>
      <c r="D460">
        <v>2</v>
      </c>
      <c r="E460" s="1">
        <v>9.2592592599999995E-3</v>
      </c>
      <c r="F460">
        <v>1</v>
      </c>
      <c r="G460">
        <v>1</v>
      </c>
      <c r="H460" s="4">
        <v>1.939E-4</v>
      </c>
      <c r="I460">
        <v>2</v>
      </c>
      <c r="J460">
        <v>1691</v>
      </c>
      <c r="K460">
        <v>0</v>
      </c>
      <c r="L460">
        <v>0</v>
      </c>
      <c r="M460">
        <v>0</v>
      </c>
      <c r="N460">
        <v>0</v>
      </c>
      <c r="O460" t="str">
        <f t="shared" si="22"/>
        <v>G</v>
      </c>
      <c r="P460" t="str">
        <f t="shared" si="23"/>
        <v>A</v>
      </c>
      <c r="Q460">
        <f>IF(M460=0,0,VLOOKUP(M460,'aa codes'!$A$1:'aa codes'!$B$21,2))</f>
        <v>0</v>
      </c>
      <c r="R460">
        <f>IF(N460=0,0,VLOOKUP(N460,'aa codes'!$A$1:'aa codes'!$B$21,2))</f>
        <v>0</v>
      </c>
      <c r="S460" s="1">
        <v>1.7331022499999999E-3</v>
      </c>
      <c r="T460" s="1">
        <v>9.2592592599999995E-3</v>
      </c>
    </row>
    <row r="461" spans="1:20">
      <c r="A461">
        <v>9</v>
      </c>
      <c r="B461">
        <v>135808861</v>
      </c>
      <c r="C461" t="str">
        <f t="shared" si="21"/>
        <v>9:135808861</v>
      </c>
      <c r="D461">
        <v>3</v>
      </c>
      <c r="E461" s="1">
        <v>0.47929606600000002</v>
      </c>
      <c r="F461">
        <v>4</v>
      </c>
      <c r="G461">
        <v>2</v>
      </c>
      <c r="H461" s="4">
        <v>0.38919999999999999</v>
      </c>
      <c r="I461">
        <v>2</v>
      </c>
      <c r="J461">
        <v>1559</v>
      </c>
      <c r="K461">
        <v>0</v>
      </c>
      <c r="L461">
        <v>0</v>
      </c>
      <c r="M461">
        <v>0</v>
      </c>
      <c r="N461">
        <v>0</v>
      </c>
      <c r="O461" t="str">
        <f t="shared" si="22"/>
        <v>C</v>
      </c>
      <c r="P461" t="str">
        <f t="shared" si="23"/>
        <v>T</v>
      </c>
      <c r="Q461">
        <f>IF(M461=0,0,VLOOKUP(M461,'aa codes'!$A$1:'aa codes'!$B$21,2))</f>
        <v>0</v>
      </c>
      <c r="R461">
        <f>IF(N461=0,0,VLOOKUP(N461,'aa codes'!$A$1:'aa codes'!$B$21,2))</f>
        <v>0</v>
      </c>
      <c r="S461" s="1">
        <v>0.47929606600000002</v>
      </c>
      <c r="T461" s="1">
        <v>0.47923322699999998</v>
      </c>
    </row>
    <row r="462" spans="1:20">
      <c r="A462">
        <v>9</v>
      </c>
      <c r="B462">
        <v>135809944</v>
      </c>
      <c r="C462" t="str">
        <f t="shared" si="21"/>
        <v>9:135809944</v>
      </c>
      <c r="D462">
        <v>2</v>
      </c>
      <c r="E462" s="1">
        <v>0.50363901</v>
      </c>
      <c r="F462">
        <v>1</v>
      </c>
      <c r="G462">
        <v>1</v>
      </c>
      <c r="H462" s="4">
        <v>6.3920000000000001E-3</v>
      </c>
      <c r="I462">
        <v>2</v>
      </c>
      <c r="J462">
        <v>476</v>
      </c>
      <c r="K462">
        <v>0</v>
      </c>
      <c r="L462">
        <v>0</v>
      </c>
      <c r="M462">
        <v>0</v>
      </c>
      <c r="N462">
        <v>0</v>
      </c>
      <c r="O462" t="str">
        <f t="shared" si="22"/>
        <v>G</v>
      </c>
      <c r="P462" t="str">
        <f t="shared" si="23"/>
        <v>A</v>
      </c>
      <c r="Q462">
        <f>IF(M462=0,0,VLOOKUP(M462,'aa codes'!$A$1:'aa codes'!$B$21,2))</f>
        <v>0</v>
      </c>
      <c r="R462">
        <f>IF(N462=0,0,VLOOKUP(N462,'aa codes'!$A$1:'aa codes'!$B$21,2))</f>
        <v>0</v>
      </c>
      <c r="S462" s="1">
        <v>0</v>
      </c>
      <c r="T462" s="1">
        <v>0.50363901</v>
      </c>
    </row>
    <row r="463" spans="1:20">
      <c r="A463">
        <v>9</v>
      </c>
      <c r="B463">
        <v>135812597</v>
      </c>
      <c r="C463" t="str">
        <f t="shared" si="21"/>
        <v>9:135812597</v>
      </c>
      <c r="D463">
        <v>1</v>
      </c>
      <c r="E463" s="1">
        <v>8.0321285100000001E-3</v>
      </c>
      <c r="F463">
        <v>2</v>
      </c>
      <c r="G463">
        <v>1</v>
      </c>
      <c r="H463" s="4">
        <v>0</v>
      </c>
      <c r="I463">
        <v>2</v>
      </c>
      <c r="J463">
        <v>-2115</v>
      </c>
      <c r="K463">
        <v>0</v>
      </c>
      <c r="L463">
        <v>0</v>
      </c>
      <c r="M463">
        <v>0</v>
      </c>
      <c r="N463">
        <v>0</v>
      </c>
      <c r="O463" t="str">
        <f t="shared" si="22"/>
        <v>A</v>
      </c>
      <c r="P463" t="str">
        <f t="shared" si="23"/>
        <v>G</v>
      </c>
      <c r="Q463">
        <f>IF(M463=0,0,VLOOKUP(M463,'aa codes'!$A$1:'aa codes'!$B$21,2))</f>
        <v>0</v>
      </c>
      <c r="R463">
        <f>IF(N463=0,0,VLOOKUP(N463,'aa codes'!$A$1:'aa codes'!$B$21,2))</f>
        <v>0</v>
      </c>
      <c r="S463" s="1">
        <v>0</v>
      </c>
      <c r="T463" s="1">
        <v>8.0321285100000001E-3</v>
      </c>
    </row>
    <row r="464" spans="1:20">
      <c r="A464">
        <v>9</v>
      </c>
      <c r="B464">
        <v>135812636</v>
      </c>
      <c r="C464" t="str">
        <f t="shared" si="21"/>
        <v>9:135812636</v>
      </c>
      <c r="D464">
        <v>1</v>
      </c>
      <c r="E464" s="1">
        <v>5.5248618799999998E-3</v>
      </c>
      <c r="F464">
        <v>2</v>
      </c>
      <c r="G464">
        <v>1</v>
      </c>
      <c r="H464" s="4">
        <v>0</v>
      </c>
      <c r="I464">
        <v>2</v>
      </c>
      <c r="J464">
        <v>-2154</v>
      </c>
      <c r="K464">
        <v>0</v>
      </c>
      <c r="L464">
        <v>0</v>
      </c>
      <c r="M464">
        <v>0</v>
      </c>
      <c r="N464">
        <v>0</v>
      </c>
      <c r="O464" t="str">
        <f t="shared" si="22"/>
        <v>A</v>
      </c>
      <c r="P464" t="str">
        <f t="shared" si="23"/>
        <v>G</v>
      </c>
      <c r="Q464">
        <f>IF(M464=0,0,VLOOKUP(M464,'aa codes'!$A$1:'aa codes'!$B$21,2))</f>
        <v>0</v>
      </c>
      <c r="R464">
        <f>IF(N464=0,0,VLOOKUP(N464,'aa codes'!$A$1:'aa codes'!$B$21,2))</f>
        <v>0</v>
      </c>
      <c r="S464" s="1">
        <v>0</v>
      </c>
      <c r="T464" s="1">
        <v>5.5248618799999998E-3</v>
      </c>
    </row>
    <row r="465" spans="1:20">
      <c r="A465">
        <v>9</v>
      </c>
      <c r="B465">
        <v>135812646</v>
      </c>
      <c r="C465" t="str">
        <f t="shared" si="21"/>
        <v>9:135812646</v>
      </c>
      <c r="D465">
        <v>3</v>
      </c>
      <c r="E465" s="1">
        <v>5.9523809499999998E-3</v>
      </c>
      <c r="F465">
        <v>4</v>
      </c>
      <c r="G465">
        <v>1</v>
      </c>
      <c r="H465" s="4">
        <v>0</v>
      </c>
      <c r="I465">
        <v>2</v>
      </c>
      <c r="J465">
        <v>-2164</v>
      </c>
      <c r="K465">
        <v>0</v>
      </c>
      <c r="L465">
        <v>0</v>
      </c>
      <c r="M465">
        <v>0</v>
      </c>
      <c r="N465">
        <v>0</v>
      </c>
      <c r="O465" t="str">
        <f t="shared" si="22"/>
        <v>C</v>
      </c>
      <c r="P465" t="str">
        <f t="shared" si="23"/>
        <v>T</v>
      </c>
      <c r="Q465">
        <f>IF(M465=0,0,VLOOKUP(M465,'aa codes'!$A$1:'aa codes'!$B$21,2))</f>
        <v>0</v>
      </c>
      <c r="R465">
        <f>IF(N465=0,0,VLOOKUP(N465,'aa codes'!$A$1:'aa codes'!$B$21,2))</f>
        <v>0</v>
      </c>
      <c r="S465" s="1">
        <v>3.78787879E-3</v>
      </c>
      <c r="T465" s="1">
        <v>5.9523809499999998E-3</v>
      </c>
    </row>
    <row r="466" spans="1:20">
      <c r="A466">
        <v>9</v>
      </c>
      <c r="B466">
        <v>135812655</v>
      </c>
      <c r="C466" t="str">
        <f t="shared" si="21"/>
        <v>9:135812655</v>
      </c>
      <c r="D466">
        <v>1</v>
      </c>
      <c r="E466" s="1">
        <v>6.7114093999999999E-3</v>
      </c>
      <c r="F466">
        <v>4</v>
      </c>
      <c r="G466">
        <v>1</v>
      </c>
      <c r="H466" s="4">
        <v>0</v>
      </c>
      <c r="I466">
        <v>2</v>
      </c>
      <c r="J466">
        <v>-2173</v>
      </c>
      <c r="K466">
        <v>0</v>
      </c>
      <c r="L466">
        <v>0</v>
      </c>
      <c r="M466">
        <v>0</v>
      </c>
      <c r="N466">
        <v>0</v>
      </c>
      <c r="O466" t="str">
        <f t="shared" si="22"/>
        <v>A</v>
      </c>
      <c r="P466" t="str">
        <f t="shared" si="23"/>
        <v>T</v>
      </c>
      <c r="Q466">
        <f>IF(M466=0,0,VLOOKUP(M466,'aa codes'!$A$1:'aa codes'!$B$21,2))</f>
        <v>0</v>
      </c>
      <c r="R466">
        <f>IF(N466=0,0,VLOOKUP(N466,'aa codes'!$A$1:'aa codes'!$B$21,2))</f>
        <v>0</v>
      </c>
      <c r="S466" s="1">
        <v>0</v>
      </c>
      <c r="T466" s="1">
        <v>6.7114093999999999E-3</v>
      </c>
    </row>
    <row r="467" spans="1:20">
      <c r="A467">
        <v>9</v>
      </c>
      <c r="B467">
        <v>135812657</v>
      </c>
      <c r="C467" t="str">
        <f t="shared" si="21"/>
        <v>9:135812657</v>
      </c>
      <c r="D467">
        <v>3</v>
      </c>
      <c r="E467" s="1">
        <v>6.4516128999999997E-3</v>
      </c>
      <c r="F467">
        <v>4</v>
      </c>
      <c r="G467">
        <v>1</v>
      </c>
      <c r="H467" s="4">
        <v>3.2299999999999999E-5</v>
      </c>
      <c r="I467">
        <v>2</v>
      </c>
      <c r="J467">
        <v>-2175</v>
      </c>
      <c r="K467">
        <v>0</v>
      </c>
      <c r="L467">
        <v>0</v>
      </c>
      <c r="M467">
        <v>0</v>
      </c>
      <c r="N467">
        <v>0</v>
      </c>
      <c r="O467" t="str">
        <f t="shared" si="22"/>
        <v>C</v>
      </c>
      <c r="P467" t="str">
        <f t="shared" si="23"/>
        <v>T</v>
      </c>
      <c r="Q467">
        <f>IF(M467=0,0,VLOOKUP(M467,'aa codes'!$A$1:'aa codes'!$B$21,2))</f>
        <v>0</v>
      </c>
      <c r="R467">
        <f>IF(N467=0,0,VLOOKUP(N467,'aa codes'!$A$1:'aa codes'!$B$21,2))</f>
        <v>0</v>
      </c>
      <c r="S467" s="1">
        <v>0</v>
      </c>
      <c r="T467" s="1">
        <v>6.4516128999999997E-3</v>
      </c>
    </row>
    <row r="468" spans="1:20">
      <c r="A468">
        <v>9</v>
      </c>
      <c r="B468">
        <v>135812659</v>
      </c>
      <c r="C468" t="str">
        <f t="shared" si="21"/>
        <v>9:135812659</v>
      </c>
      <c r="D468">
        <v>3</v>
      </c>
      <c r="E468" s="1">
        <v>6.4102564099999997E-3</v>
      </c>
      <c r="F468">
        <v>4</v>
      </c>
      <c r="G468">
        <v>1</v>
      </c>
      <c r="H468" s="4">
        <v>0</v>
      </c>
      <c r="I468">
        <v>2</v>
      </c>
      <c r="J468">
        <v>-2177</v>
      </c>
      <c r="K468">
        <v>0</v>
      </c>
      <c r="L468">
        <v>0</v>
      </c>
      <c r="M468">
        <v>0</v>
      </c>
      <c r="N468">
        <v>0</v>
      </c>
      <c r="O468" t="str">
        <f t="shared" si="22"/>
        <v>C</v>
      </c>
      <c r="P468" t="str">
        <f t="shared" si="23"/>
        <v>T</v>
      </c>
      <c r="Q468">
        <f>IF(M468=0,0,VLOOKUP(M468,'aa codes'!$A$1:'aa codes'!$B$21,2))</f>
        <v>0</v>
      </c>
      <c r="R468">
        <f>IF(N468=0,0,VLOOKUP(N468,'aa codes'!$A$1:'aa codes'!$B$21,2))</f>
        <v>0</v>
      </c>
      <c r="S468" s="1">
        <v>0</v>
      </c>
      <c r="T468" s="1">
        <v>6.4102564099999997E-3</v>
      </c>
    </row>
    <row r="469" spans="1:20">
      <c r="A469">
        <v>9</v>
      </c>
      <c r="B469">
        <v>135812660</v>
      </c>
      <c r="C469" t="str">
        <f t="shared" si="21"/>
        <v>9:135812660</v>
      </c>
      <c r="D469">
        <v>1</v>
      </c>
      <c r="E469" s="1">
        <v>6.4102564099999997E-3</v>
      </c>
      <c r="F469">
        <v>2</v>
      </c>
      <c r="G469">
        <v>1</v>
      </c>
      <c r="H469" s="4">
        <v>0</v>
      </c>
      <c r="I469">
        <v>2</v>
      </c>
      <c r="J469">
        <v>-2178</v>
      </c>
      <c r="K469">
        <v>0</v>
      </c>
      <c r="L469">
        <v>0</v>
      </c>
      <c r="M469">
        <v>0</v>
      </c>
      <c r="N469">
        <v>0</v>
      </c>
      <c r="O469" t="str">
        <f t="shared" si="22"/>
        <v>A</v>
      </c>
      <c r="P469" t="str">
        <f t="shared" si="23"/>
        <v>G</v>
      </c>
      <c r="Q469">
        <f>IF(M469=0,0,VLOOKUP(M469,'aa codes'!$A$1:'aa codes'!$B$21,2))</f>
        <v>0</v>
      </c>
      <c r="R469">
        <f>IF(N469=0,0,VLOOKUP(N469,'aa codes'!$A$1:'aa codes'!$B$21,2))</f>
        <v>0</v>
      </c>
      <c r="S469" s="1">
        <v>0</v>
      </c>
      <c r="T469" s="1">
        <v>6.4102564099999997E-3</v>
      </c>
    </row>
    <row r="470" spans="1:20">
      <c r="A470">
        <v>9</v>
      </c>
      <c r="B470">
        <v>135812669</v>
      </c>
      <c r="C470" t="str">
        <f t="shared" si="21"/>
        <v>9:135812669</v>
      </c>
      <c r="D470">
        <v>2</v>
      </c>
      <c r="E470" s="1">
        <v>6.1349693300000001E-3</v>
      </c>
      <c r="F470">
        <v>1</v>
      </c>
      <c r="G470">
        <v>1</v>
      </c>
      <c r="H470" s="4">
        <v>0</v>
      </c>
      <c r="I470">
        <v>2</v>
      </c>
      <c r="J470">
        <v>-2187</v>
      </c>
      <c r="K470">
        <v>0</v>
      </c>
      <c r="L470">
        <v>0</v>
      </c>
      <c r="M470">
        <v>0</v>
      </c>
      <c r="N470">
        <v>0</v>
      </c>
      <c r="O470" t="str">
        <f t="shared" si="22"/>
        <v>G</v>
      </c>
      <c r="P470" t="str">
        <f t="shared" si="23"/>
        <v>A</v>
      </c>
      <c r="Q470">
        <f>IF(M470=0,0,VLOOKUP(M470,'aa codes'!$A$1:'aa codes'!$B$21,2))</f>
        <v>0</v>
      </c>
      <c r="R470">
        <f>IF(N470=0,0,VLOOKUP(N470,'aa codes'!$A$1:'aa codes'!$B$21,2))</f>
        <v>0</v>
      </c>
      <c r="S470" s="1">
        <v>0</v>
      </c>
      <c r="T470" s="1">
        <v>6.1349693300000001E-3</v>
      </c>
    </row>
    <row r="471" spans="1:20">
      <c r="A471">
        <v>9</v>
      </c>
      <c r="B471">
        <v>135812671</v>
      </c>
      <c r="C471" t="str">
        <f t="shared" si="21"/>
        <v>9:135812671</v>
      </c>
      <c r="D471">
        <v>1</v>
      </c>
      <c r="E471" s="1">
        <v>6.2893081799999997E-3</v>
      </c>
      <c r="F471">
        <v>4</v>
      </c>
      <c r="G471">
        <v>1</v>
      </c>
      <c r="H471" s="4">
        <v>0</v>
      </c>
      <c r="I471">
        <v>2</v>
      </c>
      <c r="J471">
        <v>-2189</v>
      </c>
      <c r="K471">
        <v>0</v>
      </c>
      <c r="L471">
        <v>0</v>
      </c>
      <c r="M471">
        <v>0</v>
      </c>
      <c r="N471">
        <v>0</v>
      </c>
      <c r="O471" t="str">
        <f t="shared" si="22"/>
        <v>A</v>
      </c>
      <c r="P471" t="str">
        <f t="shared" si="23"/>
        <v>T</v>
      </c>
      <c r="Q471">
        <f>IF(M471=0,0,VLOOKUP(M471,'aa codes'!$A$1:'aa codes'!$B$21,2))</f>
        <v>0</v>
      </c>
      <c r="R471">
        <f>IF(N471=0,0,VLOOKUP(N471,'aa codes'!$A$1:'aa codes'!$B$21,2))</f>
        <v>0</v>
      </c>
      <c r="S471" s="1">
        <v>0</v>
      </c>
      <c r="T471" s="1">
        <v>6.2893081799999997E-3</v>
      </c>
    </row>
    <row r="472" spans="1:20">
      <c r="A472">
        <v>9</v>
      </c>
      <c r="B472">
        <v>135812681</v>
      </c>
      <c r="C472" t="str">
        <f t="shared" si="21"/>
        <v>9:135812681</v>
      </c>
      <c r="D472">
        <v>3</v>
      </c>
      <c r="E472" s="1">
        <v>6.0975609799999997E-3</v>
      </c>
      <c r="F472">
        <v>4</v>
      </c>
      <c r="G472">
        <v>1</v>
      </c>
      <c r="H472" s="4">
        <v>0</v>
      </c>
      <c r="I472">
        <v>2</v>
      </c>
      <c r="J472">
        <v>-2199</v>
      </c>
      <c r="K472">
        <v>0</v>
      </c>
      <c r="L472">
        <v>0</v>
      </c>
      <c r="M472">
        <v>0</v>
      </c>
      <c r="N472">
        <v>0</v>
      </c>
      <c r="O472" t="str">
        <f t="shared" si="22"/>
        <v>C</v>
      </c>
      <c r="P472" t="str">
        <f t="shared" si="23"/>
        <v>T</v>
      </c>
      <c r="Q472">
        <f>IF(M472=0,0,VLOOKUP(M472,'aa codes'!$A$1:'aa codes'!$B$21,2))</f>
        <v>0</v>
      </c>
      <c r="R472">
        <f>IF(N472=0,0,VLOOKUP(N472,'aa codes'!$A$1:'aa codes'!$B$21,2))</f>
        <v>0</v>
      </c>
      <c r="S472" s="1">
        <v>0</v>
      </c>
      <c r="T472" s="1">
        <v>6.0975609799999997E-3</v>
      </c>
    </row>
    <row r="473" spans="1:20">
      <c r="A473">
        <v>9</v>
      </c>
      <c r="B473">
        <v>135812691</v>
      </c>
      <c r="C473" t="str">
        <f t="shared" si="21"/>
        <v>9:135812691</v>
      </c>
      <c r="D473">
        <v>2</v>
      </c>
      <c r="E473" s="1">
        <v>5.98802395E-3</v>
      </c>
      <c r="F473">
        <v>1</v>
      </c>
      <c r="G473">
        <v>1</v>
      </c>
      <c r="H473" s="4">
        <v>0</v>
      </c>
      <c r="I473">
        <v>2</v>
      </c>
      <c r="J473">
        <v>-2209</v>
      </c>
      <c r="K473">
        <v>0</v>
      </c>
      <c r="L473">
        <v>0</v>
      </c>
      <c r="M473">
        <v>0</v>
      </c>
      <c r="N473">
        <v>0</v>
      </c>
      <c r="O473" t="str">
        <f t="shared" si="22"/>
        <v>G</v>
      </c>
      <c r="P473" t="str">
        <f t="shared" si="23"/>
        <v>A</v>
      </c>
      <c r="Q473">
        <f>IF(M473=0,0,VLOOKUP(M473,'aa codes'!$A$1:'aa codes'!$B$21,2))</f>
        <v>0</v>
      </c>
      <c r="R473">
        <f>IF(N473=0,0,VLOOKUP(N473,'aa codes'!$A$1:'aa codes'!$B$21,2))</f>
        <v>0</v>
      </c>
      <c r="S473" s="1">
        <v>0</v>
      </c>
      <c r="T473" s="1">
        <v>5.98802395E-3</v>
      </c>
    </row>
    <row r="474" spans="1:20">
      <c r="A474">
        <v>9</v>
      </c>
      <c r="B474">
        <v>135812698</v>
      </c>
      <c r="C474" t="str">
        <f t="shared" si="21"/>
        <v>9:135812698</v>
      </c>
      <c r="D474">
        <v>3</v>
      </c>
      <c r="E474" s="1">
        <v>6.4935064900000002E-3</v>
      </c>
      <c r="F474">
        <v>4</v>
      </c>
      <c r="G474">
        <v>1</v>
      </c>
      <c r="H474" s="4">
        <v>0</v>
      </c>
      <c r="I474">
        <v>2</v>
      </c>
      <c r="J474">
        <v>-2216</v>
      </c>
      <c r="K474">
        <v>0</v>
      </c>
      <c r="L474">
        <v>0</v>
      </c>
      <c r="M474">
        <v>0</v>
      </c>
      <c r="N474">
        <v>0</v>
      </c>
      <c r="O474" t="str">
        <f t="shared" si="22"/>
        <v>C</v>
      </c>
      <c r="P474" t="str">
        <f t="shared" si="23"/>
        <v>T</v>
      </c>
      <c r="Q474">
        <f>IF(M474=0,0,VLOOKUP(M474,'aa codes'!$A$1:'aa codes'!$B$21,2))</f>
        <v>0</v>
      </c>
      <c r="R474">
        <f>IF(N474=0,0,VLOOKUP(N474,'aa codes'!$A$1:'aa codes'!$B$21,2))</f>
        <v>0</v>
      </c>
      <c r="S474" s="1">
        <v>0</v>
      </c>
      <c r="T474" s="1">
        <v>6.4935064900000002E-3</v>
      </c>
    </row>
    <row r="475" spans="1:20">
      <c r="A475">
        <v>9</v>
      </c>
      <c r="B475">
        <v>135812699</v>
      </c>
      <c r="C475" t="str">
        <f t="shared" si="21"/>
        <v>9:135812699</v>
      </c>
      <c r="D475">
        <v>1</v>
      </c>
      <c r="E475" s="1">
        <v>1.2987013E-2</v>
      </c>
      <c r="F475">
        <v>2</v>
      </c>
      <c r="G475">
        <v>1</v>
      </c>
      <c r="H475" s="4">
        <v>0</v>
      </c>
      <c r="I475">
        <v>2</v>
      </c>
      <c r="J475">
        <v>-2217</v>
      </c>
      <c r="K475">
        <v>0</v>
      </c>
      <c r="L475">
        <v>0</v>
      </c>
      <c r="M475">
        <v>0</v>
      </c>
      <c r="N475">
        <v>0</v>
      </c>
      <c r="O475" t="str">
        <f t="shared" si="22"/>
        <v>A</v>
      </c>
      <c r="P475" t="str">
        <f t="shared" si="23"/>
        <v>G</v>
      </c>
      <c r="Q475">
        <f>IF(M475=0,0,VLOOKUP(M475,'aa codes'!$A$1:'aa codes'!$B$21,2))</f>
        <v>0</v>
      </c>
      <c r="R475">
        <f>IF(N475=0,0,VLOOKUP(N475,'aa codes'!$A$1:'aa codes'!$B$21,2))</f>
        <v>0</v>
      </c>
      <c r="S475" s="1">
        <v>0</v>
      </c>
      <c r="T475" s="1">
        <v>1.2987013E-2</v>
      </c>
    </row>
    <row r="476" spans="1:20">
      <c r="A476">
        <v>9</v>
      </c>
      <c r="B476">
        <v>135812702</v>
      </c>
      <c r="C476" t="str">
        <f t="shared" si="21"/>
        <v>9:135812702</v>
      </c>
      <c r="D476">
        <v>4</v>
      </c>
      <c r="E476" s="1">
        <v>6.5789473700000002E-3</v>
      </c>
      <c r="F476">
        <v>3</v>
      </c>
      <c r="G476">
        <v>1</v>
      </c>
      <c r="H476" s="4">
        <v>0</v>
      </c>
      <c r="I476">
        <v>2</v>
      </c>
      <c r="J476">
        <v>-2220</v>
      </c>
      <c r="K476">
        <v>0</v>
      </c>
      <c r="L476">
        <v>0</v>
      </c>
      <c r="M476">
        <v>0</v>
      </c>
      <c r="N476">
        <v>0</v>
      </c>
      <c r="O476" t="str">
        <f t="shared" si="22"/>
        <v>T</v>
      </c>
      <c r="P476" t="str">
        <f t="shared" si="23"/>
        <v>C</v>
      </c>
      <c r="Q476">
        <f>IF(M476=0,0,VLOOKUP(M476,'aa codes'!$A$1:'aa codes'!$B$21,2))</f>
        <v>0</v>
      </c>
      <c r="R476">
        <f>IF(N476=0,0,VLOOKUP(N476,'aa codes'!$A$1:'aa codes'!$B$21,2))</f>
        <v>0</v>
      </c>
      <c r="S476" s="1">
        <v>0</v>
      </c>
      <c r="T476" s="1">
        <v>6.5789473700000002E-3</v>
      </c>
    </row>
    <row r="477" spans="1:20">
      <c r="A477">
        <v>9</v>
      </c>
      <c r="B477">
        <v>135812714</v>
      </c>
      <c r="C477" t="str">
        <f t="shared" si="21"/>
        <v>9:135812714</v>
      </c>
      <c r="D477">
        <v>3</v>
      </c>
      <c r="E477" s="1">
        <v>6.4516128999999997E-3</v>
      </c>
      <c r="F477">
        <v>1</v>
      </c>
      <c r="G477">
        <v>1</v>
      </c>
      <c r="H477" s="4">
        <v>0</v>
      </c>
      <c r="I477">
        <v>2</v>
      </c>
      <c r="J477">
        <v>-2232</v>
      </c>
      <c r="K477">
        <v>0</v>
      </c>
      <c r="L477">
        <v>0</v>
      </c>
      <c r="M477">
        <v>0</v>
      </c>
      <c r="N477">
        <v>0</v>
      </c>
      <c r="O477" t="str">
        <f t="shared" si="22"/>
        <v>C</v>
      </c>
      <c r="P477" t="str">
        <f t="shared" si="23"/>
        <v>A</v>
      </c>
      <c r="Q477">
        <f>IF(M477=0,0,VLOOKUP(M477,'aa codes'!$A$1:'aa codes'!$B$21,2))</f>
        <v>0</v>
      </c>
      <c r="R477">
        <f>IF(N477=0,0,VLOOKUP(N477,'aa codes'!$A$1:'aa codes'!$B$21,2))</f>
        <v>0</v>
      </c>
      <c r="S477" s="1">
        <v>0</v>
      </c>
      <c r="T477" s="1">
        <v>6.4516128999999997E-3</v>
      </c>
    </row>
    <row r="478" spans="1:20">
      <c r="A478">
        <v>9</v>
      </c>
      <c r="B478">
        <v>135813218</v>
      </c>
      <c r="C478" t="str">
        <f t="shared" si="21"/>
        <v>9:135813218</v>
      </c>
      <c r="D478">
        <v>3</v>
      </c>
      <c r="E478" s="1">
        <v>6.2111801199999997E-3</v>
      </c>
      <c r="F478">
        <v>4</v>
      </c>
      <c r="G478">
        <v>1</v>
      </c>
      <c r="H478" s="4">
        <v>0</v>
      </c>
      <c r="I478">
        <v>2</v>
      </c>
      <c r="J478">
        <v>-2736</v>
      </c>
      <c r="K478">
        <v>0</v>
      </c>
      <c r="L478">
        <v>0</v>
      </c>
      <c r="M478">
        <v>0</v>
      </c>
      <c r="N478">
        <v>0</v>
      </c>
      <c r="O478" t="str">
        <f t="shared" si="22"/>
        <v>C</v>
      </c>
      <c r="P478" t="str">
        <f t="shared" si="23"/>
        <v>T</v>
      </c>
      <c r="Q478">
        <f>IF(M478=0,0,VLOOKUP(M478,'aa codes'!$A$1:'aa codes'!$B$21,2))</f>
        <v>0</v>
      </c>
      <c r="R478">
        <f>IF(N478=0,0,VLOOKUP(N478,'aa codes'!$A$1:'aa codes'!$B$21,2))</f>
        <v>0</v>
      </c>
      <c r="S478" s="1">
        <v>0</v>
      </c>
      <c r="T478" s="1">
        <v>6.2111801199999997E-3</v>
      </c>
    </row>
    <row r="479" spans="1:20">
      <c r="A479">
        <v>9</v>
      </c>
      <c r="B479">
        <v>135813219</v>
      </c>
      <c r="C479" t="str">
        <f t="shared" si="21"/>
        <v>9:135813219</v>
      </c>
      <c r="D479">
        <v>1</v>
      </c>
      <c r="E479" s="1">
        <v>6.2695924799999999E-3</v>
      </c>
      <c r="F479">
        <v>2</v>
      </c>
      <c r="G479">
        <v>1</v>
      </c>
      <c r="H479" s="4">
        <v>0</v>
      </c>
      <c r="I479">
        <v>2</v>
      </c>
      <c r="J479">
        <v>-2737</v>
      </c>
      <c r="K479">
        <v>0</v>
      </c>
      <c r="L479">
        <v>0</v>
      </c>
      <c r="M479">
        <v>0</v>
      </c>
      <c r="N479">
        <v>0</v>
      </c>
      <c r="O479" t="str">
        <f t="shared" si="22"/>
        <v>A</v>
      </c>
      <c r="P479" t="str">
        <f t="shared" si="23"/>
        <v>G</v>
      </c>
      <c r="Q479">
        <f>IF(M479=0,0,VLOOKUP(M479,'aa codes'!$A$1:'aa codes'!$B$21,2))</f>
        <v>0</v>
      </c>
      <c r="R479">
        <f>IF(N479=0,0,VLOOKUP(N479,'aa codes'!$A$1:'aa codes'!$B$21,2))</f>
        <v>0</v>
      </c>
      <c r="S479" s="1">
        <v>0</v>
      </c>
      <c r="T479" s="1">
        <v>6.2695924799999999E-3</v>
      </c>
    </row>
    <row r="480" spans="1:20">
      <c r="A480">
        <v>9</v>
      </c>
      <c r="B480">
        <v>135813220</v>
      </c>
      <c r="C480" t="str">
        <f t="shared" si="21"/>
        <v>9:135813220</v>
      </c>
      <c r="D480">
        <v>1</v>
      </c>
      <c r="E480" s="1">
        <v>6.2305295999999996E-3</v>
      </c>
      <c r="F480">
        <v>2</v>
      </c>
      <c r="G480">
        <v>1</v>
      </c>
      <c r="H480" s="4">
        <v>0</v>
      </c>
      <c r="I480">
        <v>2</v>
      </c>
      <c r="J480">
        <v>-2738</v>
      </c>
      <c r="K480">
        <v>0</v>
      </c>
      <c r="L480">
        <v>0</v>
      </c>
      <c r="M480">
        <v>0</v>
      </c>
      <c r="N480">
        <v>0</v>
      </c>
      <c r="O480" t="str">
        <f t="shared" si="22"/>
        <v>A</v>
      </c>
      <c r="P480" t="str">
        <f t="shared" si="23"/>
        <v>G</v>
      </c>
      <c r="Q480">
        <f>IF(M480=0,0,VLOOKUP(M480,'aa codes'!$A$1:'aa codes'!$B$21,2))</f>
        <v>0</v>
      </c>
      <c r="R480">
        <f>IF(N480=0,0,VLOOKUP(N480,'aa codes'!$A$1:'aa codes'!$B$21,2))</f>
        <v>0</v>
      </c>
      <c r="S480" s="1">
        <v>1.7094017099999999E-3</v>
      </c>
      <c r="T480" s="1">
        <v>6.2305295999999996E-3</v>
      </c>
    </row>
    <row r="481" spans="1:20">
      <c r="A481">
        <v>9</v>
      </c>
      <c r="B481">
        <v>135813233</v>
      </c>
      <c r="C481" t="str">
        <f t="shared" si="21"/>
        <v>9:135813233</v>
      </c>
      <c r="D481">
        <v>3</v>
      </c>
      <c r="E481" s="1">
        <v>9.09090909E-3</v>
      </c>
      <c r="F481">
        <v>1</v>
      </c>
      <c r="G481">
        <v>1</v>
      </c>
      <c r="H481" s="4">
        <v>0</v>
      </c>
      <c r="I481">
        <v>2</v>
      </c>
      <c r="J481">
        <v>-2751</v>
      </c>
      <c r="K481">
        <v>0</v>
      </c>
      <c r="L481">
        <v>0</v>
      </c>
      <c r="M481">
        <v>0</v>
      </c>
      <c r="N481">
        <v>0</v>
      </c>
      <c r="O481" t="str">
        <f t="shared" si="22"/>
        <v>C</v>
      </c>
      <c r="P481" t="str">
        <f t="shared" si="23"/>
        <v>A</v>
      </c>
      <c r="Q481">
        <f>IF(M481=0,0,VLOOKUP(M481,'aa codes'!$A$1:'aa codes'!$B$21,2))</f>
        <v>0</v>
      </c>
      <c r="R481">
        <f>IF(N481=0,0,VLOOKUP(N481,'aa codes'!$A$1:'aa codes'!$B$21,2))</f>
        <v>0</v>
      </c>
      <c r="S481" s="1">
        <v>1.66944908E-3</v>
      </c>
      <c r="T481" s="1">
        <v>9.09090909E-3</v>
      </c>
    </row>
    <row r="482" spans="1:20">
      <c r="A482">
        <v>9</v>
      </c>
      <c r="B482">
        <v>135813264</v>
      </c>
      <c r="C482" t="str">
        <f t="shared" si="21"/>
        <v>9:135813264</v>
      </c>
      <c r="D482">
        <v>1</v>
      </c>
      <c r="E482" s="1">
        <v>6.3291139199999997E-3</v>
      </c>
      <c r="F482">
        <v>2</v>
      </c>
      <c r="G482">
        <v>1</v>
      </c>
      <c r="H482" s="4">
        <v>0</v>
      </c>
      <c r="I482">
        <v>2</v>
      </c>
      <c r="J482">
        <v>-2782</v>
      </c>
      <c r="K482">
        <v>0</v>
      </c>
      <c r="L482">
        <v>0</v>
      </c>
      <c r="M482">
        <v>0</v>
      </c>
      <c r="N482">
        <v>0</v>
      </c>
      <c r="O482" t="str">
        <f t="shared" si="22"/>
        <v>A</v>
      </c>
      <c r="P482" t="str">
        <f t="shared" si="23"/>
        <v>G</v>
      </c>
      <c r="Q482">
        <f>IF(M482=0,0,VLOOKUP(M482,'aa codes'!$A$1:'aa codes'!$B$21,2))</f>
        <v>0</v>
      </c>
      <c r="R482">
        <f>IF(N482=0,0,VLOOKUP(N482,'aa codes'!$A$1:'aa codes'!$B$21,2))</f>
        <v>0</v>
      </c>
      <c r="S482" s="1">
        <v>6.3291139199999997E-3</v>
      </c>
      <c r="T482" s="1">
        <v>2.9154519000000002E-3</v>
      </c>
    </row>
    <row r="483" spans="1:20">
      <c r="A483">
        <v>9</v>
      </c>
      <c r="B483">
        <v>135813283</v>
      </c>
      <c r="C483" t="str">
        <f t="shared" si="21"/>
        <v>9:135813283</v>
      </c>
      <c r="D483">
        <v>4</v>
      </c>
      <c r="E483" s="1">
        <v>5.98802395E-3</v>
      </c>
      <c r="F483">
        <v>1</v>
      </c>
      <c r="G483">
        <v>1</v>
      </c>
      <c r="H483" s="4">
        <v>0</v>
      </c>
      <c r="I483">
        <v>2</v>
      </c>
      <c r="J483">
        <v>-2801</v>
      </c>
      <c r="K483">
        <v>0</v>
      </c>
      <c r="L483">
        <v>0</v>
      </c>
      <c r="M483">
        <v>0</v>
      </c>
      <c r="N483">
        <v>0</v>
      </c>
      <c r="O483" t="str">
        <f t="shared" si="22"/>
        <v>T</v>
      </c>
      <c r="P483" t="str">
        <f t="shared" si="23"/>
        <v>A</v>
      </c>
      <c r="Q483">
        <f>IF(M483=0,0,VLOOKUP(M483,'aa codes'!$A$1:'aa codes'!$B$21,2))</f>
        <v>0</v>
      </c>
      <c r="R483">
        <f>IF(N483=0,0,VLOOKUP(N483,'aa codes'!$A$1:'aa codes'!$B$21,2))</f>
        <v>0</v>
      </c>
      <c r="S483" s="1">
        <v>3.27332242E-3</v>
      </c>
      <c r="T483" s="1">
        <v>5.98802395E-3</v>
      </c>
    </row>
    <row r="484" spans="1:20">
      <c r="A484">
        <v>9</v>
      </c>
      <c r="B484">
        <v>135815269</v>
      </c>
      <c r="C484" t="str">
        <f t="shared" si="21"/>
        <v>9:135815269</v>
      </c>
      <c r="D484">
        <v>4</v>
      </c>
      <c r="E484" s="1">
        <v>0.50202429100000001</v>
      </c>
      <c r="F484">
        <v>3</v>
      </c>
      <c r="G484">
        <v>2</v>
      </c>
      <c r="H484" s="4">
        <v>0.6986</v>
      </c>
      <c r="I484">
        <v>1</v>
      </c>
      <c r="J484">
        <v>4661</v>
      </c>
      <c r="K484">
        <v>0</v>
      </c>
      <c r="L484">
        <v>0</v>
      </c>
      <c r="M484">
        <v>0</v>
      </c>
      <c r="N484">
        <v>0</v>
      </c>
      <c r="O484" t="str">
        <f t="shared" si="22"/>
        <v>T</v>
      </c>
      <c r="P484" t="str">
        <f t="shared" si="23"/>
        <v>C</v>
      </c>
      <c r="Q484">
        <f>IF(M484=0,0,VLOOKUP(M484,'aa codes'!$A$1:'aa codes'!$B$21,2))</f>
        <v>0</v>
      </c>
      <c r="R484">
        <f>IF(N484=0,0,VLOOKUP(N484,'aa codes'!$A$1:'aa codes'!$B$21,2))</f>
        <v>0</v>
      </c>
      <c r="S484" s="1">
        <v>0.50202429100000001</v>
      </c>
      <c r="T484" s="1">
        <v>0.45248227000000002</v>
      </c>
    </row>
    <row r="485" spans="1:20">
      <c r="A485">
        <v>9</v>
      </c>
      <c r="B485">
        <v>135815474</v>
      </c>
      <c r="C485" t="str">
        <f t="shared" si="21"/>
        <v>9:135815474</v>
      </c>
      <c r="D485">
        <v>4</v>
      </c>
      <c r="E485" s="1">
        <v>0.52719033199999998</v>
      </c>
      <c r="F485">
        <v>2</v>
      </c>
      <c r="G485">
        <v>2</v>
      </c>
      <c r="H485" s="4">
        <v>0.42720000000000002</v>
      </c>
      <c r="I485">
        <v>1</v>
      </c>
      <c r="J485">
        <v>4456</v>
      </c>
      <c r="K485">
        <v>0</v>
      </c>
      <c r="L485">
        <v>0</v>
      </c>
      <c r="M485">
        <v>0</v>
      </c>
      <c r="N485">
        <v>0</v>
      </c>
      <c r="O485" t="str">
        <f t="shared" si="22"/>
        <v>T</v>
      </c>
      <c r="P485" t="str">
        <f t="shared" si="23"/>
        <v>G</v>
      </c>
      <c r="Q485">
        <f>IF(M485=0,0,VLOOKUP(M485,'aa codes'!$A$1:'aa codes'!$B$21,2))</f>
        <v>0</v>
      </c>
      <c r="R485">
        <f>IF(N485=0,0,VLOOKUP(N485,'aa codes'!$A$1:'aa codes'!$B$21,2))</f>
        <v>0</v>
      </c>
      <c r="S485" s="1">
        <v>0.47847847799999998</v>
      </c>
      <c r="T485" s="1">
        <v>0.52719033199999998</v>
      </c>
    </row>
    <row r="486" spans="1:20">
      <c r="A486">
        <v>9</v>
      </c>
      <c r="B486">
        <v>135815625</v>
      </c>
      <c r="C486" t="str">
        <f t="shared" si="21"/>
        <v>9:135815625</v>
      </c>
      <c r="D486">
        <v>4</v>
      </c>
      <c r="E486" s="1">
        <v>1.30718954E-2</v>
      </c>
      <c r="F486">
        <v>2</v>
      </c>
      <c r="G486">
        <v>1</v>
      </c>
      <c r="H486" s="4">
        <v>0</v>
      </c>
      <c r="I486">
        <v>1</v>
      </c>
      <c r="J486">
        <v>4305</v>
      </c>
      <c r="K486">
        <v>0</v>
      </c>
      <c r="L486">
        <v>0</v>
      </c>
      <c r="M486">
        <v>0</v>
      </c>
      <c r="N486">
        <v>0</v>
      </c>
      <c r="O486" t="str">
        <f t="shared" si="22"/>
        <v>T</v>
      </c>
      <c r="P486" t="str">
        <f t="shared" si="23"/>
        <v>G</v>
      </c>
      <c r="Q486">
        <f>IF(M486=0,0,VLOOKUP(M486,'aa codes'!$A$1:'aa codes'!$B$21,2))</f>
        <v>0</v>
      </c>
      <c r="R486">
        <f>IF(N486=0,0,VLOOKUP(N486,'aa codes'!$A$1:'aa codes'!$B$21,2))</f>
        <v>0</v>
      </c>
      <c r="S486" s="1">
        <v>3.2327586200000002E-3</v>
      </c>
      <c r="T486" s="1">
        <v>1.30718954E-2</v>
      </c>
    </row>
    <row r="487" spans="1:20">
      <c r="A487">
        <v>9</v>
      </c>
      <c r="B487">
        <v>135815627</v>
      </c>
      <c r="C487" t="str">
        <f t="shared" si="21"/>
        <v>9:135815627</v>
      </c>
      <c r="D487">
        <v>1</v>
      </c>
      <c r="E487" s="1">
        <v>1.67597765E-2</v>
      </c>
      <c r="F487">
        <v>4</v>
      </c>
      <c r="G487">
        <v>2</v>
      </c>
      <c r="H487" s="4">
        <v>0</v>
      </c>
      <c r="I487">
        <v>1</v>
      </c>
      <c r="J487">
        <v>4303</v>
      </c>
      <c r="K487">
        <v>0</v>
      </c>
      <c r="L487">
        <v>0</v>
      </c>
      <c r="M487">
        <v>0</v>
      </c>
      <c r="N487">
        <v>0</v>
      </c>
      <c r="O487" t="str">
        <f t="shared" si="22"/>
        <v>A</v>
      </c>
      <c r="P487" t="str">
        <f t="shared" si="23"/>
        <v>T</v>
      </c>
      <c r="Q487">
        <f>IF(M487=0,0,VLOOKUP(M487,'aa codes'!$A$1:'aa codes'!$B$21,2))</f>
        <v>0</v>
      </c>
      <c r="R487">
        <f>IF(N487=0,0,VLOOKUP(N487,'aa codes'!$A$1:'aa codes'!$B$21,2))</f>
        <v>0</v>
      </c>
      <c r="S487" s="1">
        <v>1.5681543999999999E-2</v>
      </c>
      <c r="T487" s="1">
        <v>1.67597765E-2</v>
      </c>
    </row>
    <row r="488" spans="1:20">
      <c r="A488">
        <v>9</v>
      </c>
      <c r="B488">
        <v>135815640</v>
      </c>
      <c r="C488" t="str">
        <f t="shared" si="21"/>
        <v>9:135815640</v>
      </c>
      <c r="D488">
        <v>1</v>
      </c>
      <c r="E488" s="1">
        <v>2.8526149000000001E-2</v>
      </c>
      <c r="F488">
        <v>2</v>
      </c>
      <c r="G488">
        <v>2</v>
      </c>
      <c r="H488" s="4">
        <v>0</v>
      </c>
      <c r="I488">
        <v>1</v>
      </c>
      <c r="J488">
        <v>4290</v>
      </c>
      <c r="K488">
        <v>0</v>
      </c>
      <c r="L488">
        <v>0</v>
      </c>
      <c r="M488">
        <v>0</v>
      </c>
      <c r="N488">
        <v>0</v>
      </c>
      <c r="O488" t="str">
        <f t="shared" si="22"/>
        <v>A</v>
      </c>
      <c r="P488" t="str">
        <f t="shared" si="23"/>
        <v>G</v>
      </c>
      <c r="Q488">
        <f>IF(M488=0,0,VLOOKUP(M488,'aa codes'!$A$1:'aa codes'!$B$21,2))</f>
        <v>0</v>
      </c>
      <c r="R488">
        <f>IF(N488=0,0,VLOOKUP(N488,'aa codes'!$A$1:'aa codes'!$B$21,2))</f>
        <v>0</v>
      </c>
      <c r="S488" s="1">
        <v>2.1920668099999999E-2</v>
      </c>
      <c r="T488" s="1">
        <v>2.8526149000000001E-2</v>
      </c>
    </row>
    <row r="489" spans="1:20">
      <c r="A489">
        <v>9</v>
      </c>
      <c r="B489">
        <v>135815641</v>
      </c>
      <c r="C489" t="str">
        <f t="shared" si="21"/>
        <v>9:135815641</v>
      </c>
      <c r="D489">
        <v>2</v>
      </c>
      <c r="E489" s="1">
        <v>2.7027026999999999E-2</v>
      </c>
      <c r="F489">
        <v>4</v>
      </c>
      <c r="G489">
        <v>2</v>
      </c>
      <c r="H489" s="4">
        <v>0</v>
      </c>
      <c r="I489">
        <v>1</v>
      </c>
      <c r="J489">
        <v>4289</v>
      </c>
      <c r="K489">
        <v>0</v>
      </c>
      <c r="L489">
        <v>0</v>
      </c>
      <c r="M489">
        <v>0</v>
      </c>
      <c r="N489">
        <v>0</v>
      </c>
      <c r="O489" t="str">
        <f t="shared" si="22"/>
        <v>G</v>
      </c>
      <c r="P489" t="str">
        <f t="shared" si="23"/>
        <v>T</v>
      </c>
      <c r="Q489">
        <f>IF(M489=0,0,VLOOKUP(M489,'aa codes'!$A$1:'aa codes'!$B$21,2))</f>
        <v>0</v>
      </c>
      <c r="R489">
        <f>IF(N489=0,0,VLOOKUP(N489,'aa codes'!$A$1:'aa codes'!$B$21,2))</f>
        <v>0</v>
      </c>
      <c r="S489" s="1">
        <v>1.80275716E-2</v>
      </c>
      <c r="T489" s="1">
        <v>2.7027026999999999E-2</v>
      </c>
    </row>
    <row r="490" spans="1:20">
      <c r="A490">
        <v>9</v>
      </c>
      <c r="B490">
        <v>135815642</v>
      </c>
      <c r="C490" t="str">
        <f t="shared" si="21"/>
        <v>9:135815642</v>
      </c>
      <c r="D490">
        <v>4</v>
      </c>
      <c r="E490" s="1">
        <v>1.1146496800000001E-2</v>
      </c>
      <c r="F490">
        <v>2</v>
      </c>
      <c r="G490">
        <v>2</v>
      </c>
      <c r="H490" s="4">
        <v>0</v>
      </c>
      <c r="I490">
        <v>1</v>
      </c>
      <c r="J490">
        <v>4288</v>
      </c>
      <c r="K490">
        <v>0</v>
      </c>
      <c r="L490">
        <v>0</v>
      </c>
      <c r="M490">
        <v>0</v>
      </c>
      <c r="N490">
        <v>0</v>
      </c>
      <c r="O490" t="str">
        <f t="shared" si="22"/>
        <v>T</v>
      </c>
      <c r="P490" t="str">
        <f t="shared" si="23"/>
        <v>G</v>
      </c>
      <c r="Q490">
        <f>IF(M490=0,0,VLOOKUP(M490,'aa codes'!$A$1:'aa codes'!$B$21,2))</f>
        <v>0</v>
      </c>
      <c r="R490">
        <f>IF(N490=0,0,VLOOKUP(N490,'aa codes'!$A$1:'aa codes'!$B$21,2))</f>
        <v>0</v>
      </c>
      <c r="S490" s="1">
        <v>1.05485232E-2</v>
      </c>
      <c r="T490" s="1">
        <v>1.1146496800000001E-2</v>
      </c>
    </row>
    <row r="491" spans="1:20">
      <c r="A491">
        <v>9</v>
      </c>
      <c r="B491">
        <v>135816568</v>
      </c>
      <c r="C491" t="str">
        <f t="shared" si="21"/>
        <v>9:135816568</v>
      </c>
      <c r="D491">
        <v>3</v>
      </c>
      <c r="E491" s="1">
        <v>6.3761955399999999E-3</v>
      </c>
      <c r="F491">
        <v>4</v>
      </c>
      <c r="G491">
        <v>1</v>
      </c>
      <c r="H491" s="4">
        <v>0</v>
      </c>
      <c r="I491">
        <v>1</v>
      </c>
      <c r="J491">
        <v>3362</v>
      </c>
      <c r="K491">
        <v>0</v>
      </c>
      <c r="L491">
        <v>0</v>
      </c>
      <c r="M491">
        <v>0</v>
      </c>
      <c r="N491">
        <v>0</v>
      </c>
      <c r="O491" t="str">
        <f t="shared" si="22"/>
        <v>C</v>
      </c>
      <c r="P491" t="str">
        <f t="shared" si="23"/>
        <v>T</v>
      </c>
      <c r="Q491">
        <f>IF(M491=0,0,VLOOKUP(M491,'aa codes'!$A$1:'aa codes'!$B$21,2))</f>
        <v>0</v>
      </c>
      <c r="R491">
        <f>IF(N491=0,0,VLOOKUP(N491,'aa codes'!$A$1:'aa codes'!$B$21,2))</f>
        <v>0</v>
      </c>
      <c r="S491" s="1">
        <v>6.3761955399999999E-3</v>
      </c>
      <c r="T491" s="1">
        <v>0</v>
      </c>
    </row>
    <row r="492" spans="1:20">
      <c r="A492">
        <v>9</v>
      </c>
      <c r="B492">
        <v>135818616</v>
      </c>
      <c r="C492" t="str">
        <f t="shared" si="21"/>
        <v>9:135818616</v>
      </c>
      <c r="D492">
        <v>4</v>
      </c>
      <c r="E492" s="1">
        <v>9.8231827099999995E-3</v>
      </c>
      <c r="F492">
        <v>1</v>
      </c>
      <c r="G492">
        <v>1</v>
      </c>
      <c r="H492" s="4">
        <v>0</v>
      </c>
      <c r="I492">
        <v>1</v>
      </c>
      <c r="J492">
        <v>1314</v>
      </c>
      <c r="K492">
        <v>0</v>
      </c>
      <c r="L492">
        <v>0</v>
      </c>
      <c r="M492">
        <v>0</v>
      </c>
      <c r="N492">
        <v>0</v>
      </c>
      <c r="O492" t="str">
        <f t="shared" si="22"/>
        <v>T</v>
      </c>
      <c r="P492" t="str">
        <f t="shared" si="23"/>
        <v>A</v>
      </c>
      <c r="Q492">
        <f>IF(M492=0,0,VLOOKUP(M492,'aa codes'!$A$1:'aa codes'!$B$21,2))</f>
        <v>0</v>
      </c>
      <c r="R492">
        <f>IF(N492=0,0,VLOOKUP(N492,'aa codes'!$A$1:'aa codes'!$B$21,2))</f>
        <v>0</v>
      </c>
      <c r="S492" s="1">
        <v>0</v>
      </c>
      <c r="T492" s="1">
        <v>9.8231827099999995E-3</v>
      </c>
    </row>
    <row r="493" spans="1:20">
      <c r="A493">
        <v>9</v>
      </c>
      <c r="B493">
        <v>135818619</v>
      </c>
      <c r="C493" t="str">
        <f t="shared" si="21"/>
        <v>9:135818619</v>
      </c>
      <c r="D493">
        <v>1</v>
      </c>
      <c r="E493" s="1">
        <v>2.7334851899999998E-2</v>
      </c>
      <c r="F493">
        <v>4</v>
      </c>
      <c r="G493">
        <v>2</v>
      </c>
      <c r="H493" s="4">
        <v>0</v>
      </c>
      <c r="I493">
        <v>1</v>
      </c>
      <c r="J493">
        <v>1311</v>
      </c>
      <c r="K493">
        <v>0</v>
      </c>
      <c r="L493">
        <v>0</v>
      </c>
      <c r="M493">
        <v>0</v>
      </c>
      <c r="N493">
        <v>0</v>
      </c>
      <c r="O493" t="str">
        <f t="shared" si="22"/>
        <v>A</v>
      </c>
      <c r="P493" t="str">
        <f t="shared" si="23"/>
        <v>T</v>
      </c>
      <c r="Q493">
        <f>IF(M493=0,0,VLOOKUP(M493,'aa codes'!$A$1:'aa codes'!$B$21,2))</f>
        <v>0</v>
      </c>
      <c r="R493">
        <f>IF(N493=0,0,VLOOKUP(N493,'aa codes'!$A$1:'aa codes'!$B$21,2))</f>
        <v>0</v>
      </c>
      <c r="S493" s="1">
        <v>1.54639175E-2</v>
      </c>
      <c r="T493" s="1">
        <v>2.7334851899999998E-2</v>
      </c>
    </row>
    <row r="494" spans="1:20">
      <c r="A494">
        <v>9</v>
      </c>
      <c r="B494">
        <v>135818631</v>
      </c>
      <c r="C494" t="str">
        <f t="shared" si="21"/>
        <v>9:135818631</v>
      </c>
      <c r="D494">
        <v>1</v>
      </c>
      <c r="E494" s="1">
        <v>5.5970149299999997E-3</v>
      </c>
      <c r="F494">
        <v>2</v>
      </c>
      <c r="G494">
        <v>1</v>
      </c>
      <c r="H494" s="4">
        <v>0</v>
      </c>
      <c r="I494">
        <v>1</v>
      </c>
      <c r="J494">
        <v>1299</v>
      </c>
      <c r="K494">
        <v>0</v>
      </c>
      <c r="L494">
        <v>0</v>
      </c>
      <c r="M494">
        <v>0</v>
      </c>
      <c r="N494">
        <v>0</v>
      </c>
      <c r="O494" t="str">
        <f t="shared" si="22"/>
        <v>A</v>
      </c>
      <c r="P494" t="str">
        <f t="shared" si="23"/>
        <v>G</v>
      </c>
      <c r="Q494">
        <f>IF(M494=0,0,VLOOKUP(M494,'aa codes'!$A$1:'aa codes'!$B$21,2))</f>
        <v>0</v>
      </c>
      <c r="R494">
        <f>IF(N494=0,0,VLOOKUP(N494,'aa codes'!$A$1:'aa codes'!$B$21,2))</f>
        <v>0</v>
      </c>
      <c r="S494" s="1">
        <v>0</v>
      </c>
      <c r="T494" s="1">
        <v>5.5970149299999997E-3</v>
      </c>
    </row>
    <row r="495" spans="1:20">
      <c r="A495">
        <v>9</v>
      </c>
      <c r="B495">
        <v>135818632</v>
      </c>
      <c r="C495" t="str">
        <f t="shared" si="21"/>
        <v>9:135818632</v>
      </c>
      <c r="D495">
        <v>1</v>
      </c>
      <c r="E495" s="1">
        <v>1.5094339599999999E-2</v>
      </c>
      <c r="F495">
        <v>2</v>
      </c>
      <c r="G495">
        <v>2</v>
      </c>
      <c r="H495" s="4">
        <v>0</v>
      </c>
      <c r="I495">
        <v>1</v>
      </c>
      <c r="J495">
        <v>1298</v>
      </c>
      <c r="K495">
        <v>0</v>
      </c>
      <c r="L495">
        <v>0</v>
      </c>
      <c r="M495">
        <v>0</v>
      </c>
      <c r="N495">
        <v>0</v>
      </c>
      <c r="O495" t="str">
        <f t="shared" si="22"/>
        <v>A</v>
      </c>
      <c r="P495" t="str">
        <f t="shared" si="23"/>
        <v>G</v>
      </c>
      <c r="Q495">
        <f>IF(M495=0,0,VLOOKUP(M495,'aa codes'!$A$1:'aa codes'!$B$21,2))</f>
        <v>0</v>
      </c>
      <c r="R495">
        <f>IF(N495=0,0,VLOOKUP(N495,'aa codes'!$A$1:'aa codes'!$B$21,2))</f>
        <v>0</v>
      </c>
      <c r="S495" s="1">
        <v>5.8479532200000003E-3</v>
      </c>
      <c r="T495" s="1">
        <v>1.5094339599999999E-2</v>
      </c>
    </row>
    <row r="496" spans="1:20">
      <c r="A496">
        <v>9</v>
      </c>
      <c r="B496">
        <v>135818633</v>
      </c>
      <c r="C496" t="str">
        <f t="shared" si="21"/>
        <v>9:135818633</v>
      </c>
      <c r="D496">
        <v>2</v>
      </c>
      <c r="E496" s="1">
        <v>2.48618785E-2</v>
      </c>
      <c r="F496">
        <v>1</v>
      </c>
      <c r="G496">
        <v>2</v>
      </c>
      <c r="H496" s="4">
        <v>0</v>
      </c>
      <c r="I496">
        <v>1</v>
      </c>
      <c r="J496">
        <v>1297</v>
      </c>
      <c r="K496">
        <v>0</v>
      </c>
      <c r="L496">
        <v>0</v>
      </c>
      <c r="M496">
        <v>0</v>
      </c>
      <c r="N496">
        <v>0</v>
      </c>
      <c r="O496" t="str">
        <f t="shared" si="22"/>
        <v>G</v>
      </c>
      <c r="P496" t="str">
        <f t="shared" si="23"/>
        <v>A</v>
      </c>
      <c r="Q496">
        <f>IF(M496=0,0,VLOOKUP(M496,'aa codes'!$A$1:'aa codes'!$B$21,2))</f>
        <v>0</v>
      </c>
      <c r="R496">
        <f>IF(N496=0,0,VLOOKUP(N496,'aa codes'!$A$1:'aa codes'!$B$21,2))</f>
        <v>0</v>
      </c>
      <c r="S496" s="1">
        <v>2.48618785E-2</v>
      </c>
      <c r="T496" s="1">
        <v>1.72043011E-2</v>
      </c>
    </row>
    <row r="497" spans="1:20">
      <c r="A497">
        <v>9</v>
      </c>
      <c r="B497">
        <v>135818635</v>
      </c>
      <c r="C497" t="str">
        <f t="shared" si="21"/>
        <v>9:135818635</v>
      </c>
      <c r="D497">
        <v>3</v>
      </c>
      <c r="E497" s="1">
        <v>5.5325034600000001E-3</v>
      </c>
      <c r="F497">
        <v>1</v>
      </c>
      <c r="G497">
        <v>1</v>
      </c>
      <c r="H497" s="4">
        <v>0</v>
      </c>
      <c r="I497">
        <v>1</v>
      </c>
      <c r="J497">
        <v>1295</v>
      </c>
      <c r="K497">
        <v>0</v>
      </c>
      <c r="L497">
        <v>0</v>
      </c>
      <c r="M497">
        <v>0</v>
      </c>
      <c r="N497">
        <v>0</v>
      </c>
      <c r="O497" t="str">
        <f t="shared" si="22"/>
        <v>C</v>
      </c>
      <c r="P497" t="str">
        <f t="shared" si="23"/>
        <v>A</v>
      </c>
      <c r="Q497">
        <f>IF(M497=0,0,VLOOKUP(M497,'aa codes'!$A$1:'aa codes'!$B$21,2))</f>
        <v>0</v>
      </c>
      <c r="R497">
        <f>IF(N497=0,0,VLOOKUP(N497,'aa codes'!$A$1:'aa codes'!$B$21,2))</f>
        <v>0</v>
      </c>
      <c r="S497" s="1">
        <v>5.5325034600000001E-3</v>
      </c>
      <c r="T497" s="1">
        <v>4.3010752700000003E-3</v>
      </c>
    </row>
    <row r="498" spans="1:20">
      <c r="A498">
        <v>9</v>
      </c>
      <c r="B498">
        <v>135818637</v>
      </c>
      <c r="C498" t="str">
        <f t="shared" si="21"/>
        <v>9:135818637</v>
      </c>
      <c r="D498">
        <v>2</v>
      </c>
      <c r="E498" s="1">
        <v>1.5894039700000001E-2</v>
      </c>
      <c r="F498">
        <v>1</v>
      </c>
      <c r="G498">
        <v>2</v>
      </c>
      <c r="H498" s="4">
        <v>0</v>
      </c>
      <c r="I498">
        <v>1</v>
      </c>
      <c r="J498">
        <v>1293</v>
      </c>
      <c r="K498">
        <v>0</v>
      </c>
      <c r="L498">
        <v>0</v>
      </c>
      <c r="M498">
        <v>0</v>
      </c>
      <c r="N498">
        <v>0</v>
      </c>
      <c r="O498" t="str">
        <f t="shared" si="22"/>
        <v>G</v>
      </c>
      <c r="P498" t="str">
        <f t="shared" si="23"/>
        <v>A</v>
      </c>
      <c r="Q498">
        <f>IF(M498=0,0,VLOOKUP(M498,'aa codes'!$A$1:'aa codes'!$B$21,2))</f>
        <v>0</v>
      </c>
      <c r="R498">
        <f>IF(N498=0,0,VLOOKUP(N498,'aa codes'!$A$1:'aa codes'!$B$21,2))</f>
        <v>0</v>
      </c>
      <c r="S498" s="1">
        <v>1.5894039700000001E-2</v>
      </c>
      <c r="T498" s="1">
        <v>6.2500000000000003E-3</v>
      </c>
    </row>
    <row r="499" spans="1:20">
      <c r="A499">
        <v>9</v>
      </c>
      <c r="B499">
        <v>135818649</v>
      </c>
      <c r="C499" t="str">
        <f t="shared" si="21"/>
        <v>9:135818649</v>
      </c>
      <c r="D499">
        <v>2</v>
      </c>
      <c r="E499" s="1">
        <v>5.1746442399999999E-3</v>
      </c>
      <c r="F499">
        <v>4</v>
      </c>
      <c r="G499">
        <v>1</v>
      </c>
      <c r="H499" s="4">
        <v>0</v>
      </c>
      <c r="I499">
        <v>1</v>
      </c>
      <c r="J499">
        <v>1281</v>
      </c>
      <c r="K499">
        <v>0</v>
      </c>
      <c r="L499">
        <v>0</v>
      </c>
      <c r="M499">
        <v>0</v>
      </c>
      <c r="N499">
        <v>0</v>
      </c>
      <c r="O499" t="str">
        <f t="shared" si="22"/>
        <v>G</v>
      </c>
      <c r="P499" t="str">
        <f t="shared" si="23"/>
        <v>T</v>
      </c>
      <c r="Q499">
        <f>IF(M499=0,0,VLOOKUP(M499,'aa codes'!$A$1:'aa codes'!$B$21,2))</f>
        <v>0</v>
      </c>
      <c r="R499">
        <f>IF(N499=0,0,VLOOKUP(N499,'aa codes'!$A$1:'aa codes'!$B$21,2))</f>
        <v>0</v>
      </c>
      <c r="S499" s="1">
        <v>5.1746442399999999E-3</v>
      </c>
      <c r="T499" s="1">
        <v>0</v>
      </c>
    </row>
    <row r="500" spans="1:20">
      <c r="A500">
        <v>9</v>
      </c>
      <c r="B500">
        <v>135818662</v>
      </c>
      <c r="C500" t="str">
        <f t="shared" si="21"/>
        <v>9:135818662</v>
      </c>
      <c r="D500">
        <v>3</v>
      </c>
      <c r="E500" s="1">
        <v>8.6767895899999992E-3</v>
      </c>
      <c r="F500">
        <v>4</v>
      </c>
      <c r="G500">
        <v>1</v>
      </c>
      <c r="H500" s="4">
        <v>7.4739999999999995E-4</v>
      </c>
      <c r="I500">
        <v>1</v>
      </c>
      <c r="J500">
        <v>1268</v>
      </c>
      <c r="K500">
        <v>0</v>
      </c>
      <c r="L500">
        <v>0</v>
      </c>
      <c r="M500">
        <v>0</v>
      </c>
      <c r="N500">
        <v>0</v>
      </c>
      <c r="O500" t="str">
        <f t="shared" si="22"/>
        <v>C</v>
      </c>
      <c r="P500" t="str">
        <f t="shared" si="23"/>
        <v>T</v>
      </c>
      <c r="Q500">
        <f>IF(M500=0,0,VLOOKUP(M500,'aa codes'!$A$1:'aa codes'!$B$21,2))</f>
        <v>0</v>
      </c>
      <c r="R500">
        <f>IF(N500=0,0,VLOOKUP(N500,'aa codes'!$A$1:'aa codes'!$B$21,2))</f>
        <v>0</v>
      </c>
      <c r="S500" s="1">
        <v>0</v>
      </c>
      <c r="T500" s="1">
        <v>8.6767895899999992E-3</v>
      </c>
    </row>
    <row r="501" spans="1:20">
      <c r="A501">
        <v>9</v>
      </c>
      <c r="B501">
        <v>135818667</v>
      </c>
      <c r="C501" t="str">
        <f t="shared" si="21"/>
        <v>9:135818667</v>
      </c>
      <c r="D501">
        <v>2</v>
      </c>
      <c r="E501" s="1">
        <v>5.97609562E-3</v>
      </c>
      <c r="F501">
        <v>4</v>
      </c>
      <c r="G501">
        <v>1</v>
      </c>
      <c r="H501" s="4">
        <v>0</v>
      </c>
      <c r="I501">
        <v>1</v>
      </c>
      <c r="J501">
        <v>1263</v>
      </c>
      <c r="K501">
        <v>0</v>
      </c>
      <c r="L501">
        <v>0</v>
      </c>
      <c r="M501">
        <v>0</v>
      </c>
      <c r="N501">
        <v>0</v>
      </c>
      <c r="O501" t="str">
        <f t="shared" si="22"/>
        <v>G</v>
      </c>
      <c r="P501" t="str">
        <f t="shared" si="23"/>
        <v>T</v>
      </c>
      <c r="Q501">
        <f>IF(M501=0,0,VLOOKUP(M501,'aa codes'!$A$1:'aa codes'!$B$21,2))</f>
        <v>0</v>
      </c>
      <c r="R501">
        <f>IF(N501=0,0,VLOOKUP(N501,'aa codes'!$A$1:'aa codes'!$B$21,2))</f>
        <v>0</v>
      </c>
      <c r="S501" s="1">
        <v>3.8022813700000001E-3</v>
      </c>
      <c r="T501" s="1">
        <v>5.97609562E-3</v>
      </c>
    </row>
    <row r="502" spans="1:20">
      <c r="A502">
        <v>9</v>
      </c>
      <c r="B502">
        <v>135819436</v>
      </c>
      <c r="C502" t="str">
        <f t="shared" si="21"/>
        <v>9:135819436</v>
      </c>
      <c r="D502">
        <v>2</v>
      </c>
      <c r="E502" s="1">
        <v>5.6285178199999997E-3</v>
      </c>
      <c r="F502">
        <v>1</v>
      </c>
      <c r="G502">
        <v>1</v>
      </c>
      <c r="H502" s="4">
        <v>0</v>
      </c>
      <c r="I502">
        <v>1</v>
      </c>
      <c r="J502">
        <v>494</v>
      </c>
      <c r="K502">
        <v>0</v>
      </c>
      <c r="L502">
        <v>0</v>
      </c>
      <c r="M502">
        <v>0</v>
      </c>
      <c r="N502">
        <v>0</v>
      </c>
      <c r="O502" t="str">
        <f t="shared" si="22"/>
        <v>G</v>
      </c>
      <c r="P502" t="str">
        <f t="shared" si="23"/>
        <v>A</v>
      </c>
      <c r="Q502">
        <f>IF(M502=0,0,VLOOKUP(M502,'aa codes'!$A$1:'aa codes'!$B$21,2))</f>
        <v>0</v>
      </c>
      <c r="R502">
        <f>IF(N502=0,0,VLOOKUP(N502,'aa codes'!$A$1:'aa codes'!$B$21,2))</f>
        <v>0</v>
      </c>
      <c r="S502" s="1">
        <v>0</v>
      </c>
      <c r="T502" s="1">
        <v>5.6285178199999997E-3</v>
      </c>
    </row>
    <row r="503" spans="1:20">
      <c r="A503">
        <v>9</v>
      </c>
      <c r="B503">
        <v>135819883</v>
      </c>
      <c r="C503" t="str">
        <f t="shared" si="21"/>
        <v>9:135819883</v>
      </c>
      <c r="D503">
        <v>3</v>
      </c>
      <c r="E503" s="1">
        <v>6.2893081799999997E-3</v>
      </c>
      <c r="F503">
        <v>4</v>
      </c>
      <c r="G503">
        <v>1</v>
      </c>
      <c r="H503" s="4">
        <v>0</v>
      </c>
      <c r="I503">
        <v>1</v>
      </c>
      <c r="J503">
        <v>47</v>
      </c>
      <c r="K503">
        <v>0</v>
      </c>
      <c r="L503">
        <v>0</v>
      </c>
      <c r="M503">
        <v>0</v>
      </c>
      <c r="N503">
        <v>0</v>
      </c>
      <c r="O503" t="str">
        <f t="shared" si="22"/>
        <v>C</v>
      </c>
      <c r="P503" t="str">
        <f t="shared" si="23"/>
        <v>T</v>
      </c>
      <c r="Q503">
        <f>IF(M503=0,0,VLOOKUP(M503,'aa codes'!$A$1:'aa codes'!$B$21,2))</f>
        <v>0</v>
      </c>
      <c r="R503">
        <f>IF(N503=0,0,VLOOKUP(N503,'aa codes'!$A$1:'aa codes'!$B$21,2))</f>
        <v>0</v>
      </c>
      <c r="S503" s="1">
        <v>0</v>
      </c>
      <c r="T503" s="1">
        <v>6.2893081799999997E-3</v>
      </c>
    </row>
    <row r="504" spans="1:20">
      <c r="A504">
        <v>9</v>
      </c>
      <c r="B504">
        <v>135819981</v>
      </c>
      <c r="C504" t="str">
        <f t="shared" si="21"/>
        <v>9:135819981</v>
      </c>
      <c r="D504">
        <v>2</v>
      </c>
      <c r="E504" s="1">
        <v>8.2987551899999998E-3</v>
      </c>
      <c r="F504">
        <v>4</v>
      </c>
      <c r="G504">
        <v>1</v>
      </c>
      <c r="H504" s="4">
        <v>0</v>
      </c>
      <c r="I504">
        <v>1</v>
      </c>
      <c r="J504">
        <v>0</v>
      </c>
      <c r="K504">
        <v>0</v>
      </c>
      <c r="L504">
        <v>0</v>
      </c>
      <c r="M504">
        <v>0</v>
      </c>
      <c r="N504">
        <v>0</v>
      </c>
      <c r="O504" t="str">
        <f t="shared" si="22"/>
        <v>G</v>
      </c>
      <c r="P504" t="str">
        <f t="shared" si="23"/>
        <v>T</v>
      </c>
      <c r="Q504">
        <f>IF(M504=0,0,VLOOKUP(M504,'aa codes'!$A$1:'aa codes'!$B$21,2))</f>
        <v>0</v>
      </c>
      <c r="R504">
        <f>IF(N504=0,0,VLOOKUP(N504,'aa codes'!$A$1:'aa codes'!$B$21,2))</f>
        <v>0</v>
      </c>
      <c r="S504" s="1">
        <v>1.0706638099999999E-3</v>
      </c>
      <c r="T504" s="1">
        <v>8.2987551899999998E-3</v>
      </c>
    </row>
    <row r="505" spans="1:20">
      <c r="A505">
        <v>9</v>
      </c>
      <c r="B505">
        <v>135820005</v>
      </c>
      <c r="C505" t="str">
        <f t="shared" si="21"/>
        <v>9:135820005</v>
      </c>
      <c r="D505">
        <v>2</v>
      </c>
      <c r="E505" s="1">
        <v>5.6818181800000001E-3</v>
      </c>
      <c r="F505">
        <v>14</v>
      </c>
      <c r="G505">
        <v>1</v>
      </c>
      <c r="H505" s="4">
        <v>0</v>
      </c>
      <c r="I505">
        <v>1</v>
      </c>
      <c r="J505">
        <v>0</v>
      </c>
      <c r="K505">
        <v>0</v>
      </c>
      <c r="L505">
        <v>0</v>
      </c>
      <c r="M505">
        <v>0</v>
      </c>
      <c r="N505">
        <v>0</v>
      </c>
      <c r="O505" t="str">
        <f t="shared" si="22"/>
        <v>G</v>
      </c>
      <c r="P505" t="str">
        <f t="shared" si="23"/>
        <v>2NT</v>
      </c>
      <c r="Q505">
        <f>IF(M505=0,0,VLOOKUP(M505,'aa codes'!$A$1:'aa codes'!$B$21,2))</f>
        <v>0</v>
      </c>
      <c r="R505">
        <f>IF(N505=0,0,VLOOKUP(N505,'aa codes'!$A$1:'aa codes'!$B$21,2))</f>
        <v>0</v>
      </c>
      <c r="S505" s="1">
        <v>0</v>
      </c>
      <c r="T505" s="1">
        <v>5.6818181800000001E-3</v>
      </c>
    </row>
    <row r="506" spans="1:20">
      <c r="A506">
        <v>9</v>
      </c>
      <c r="B506">
        <v>135820007</v>
      </c>
      <c r="C506" t="str">
        <f t="shared" si="21"/>
        <v>9:135820007</v>
      </c>
      <c r="D506">
        <v>1</v>
      </c>
      <c r="E506" s="1">
        <v>5.7142857100000001E-3</v>
      </c>
      <c r="F506">
        <v>34</v>
      </c>
      <c r="G506">
        <v>1</v>
      </c>
      <c r="H506" s="4">
        <v>0</v>
      </c>
      <c r="I506">
        <v>1</v>
      </c>
      <c r="J506">
        <v>0</v>
      </c>
      <c r="K506">
        <v>0</v>
      </c>
      <c r="L506">
        <v>0</v>
      </c>
      <c r="M506">
        <v>0</v>
      </c>
      <c r="N506">
        <v>0</v>
      </c>
      <c r="O506" t="str">
        <f t="shared" si="22"/>
        <v>A</v>
      </c>
      <c r="P506" t="str">
        <f t="shared" si="23"/>
        <v>2NT</v>
      </c>
      <c r="Q506">
        <f>IF(M506=0,0,VLOOKUP(M506,'aa codes'!$A$1:'aa codes'!$B$21,2))</f>
        <v>0</v>
      </c>
      <c r="R506">
        <f>IF(N506=0,0,VLOOKUP(N506,'aa codes'!$A$1:'aa codes'!$B$21,2))</f>
        <v>0</v>
      </c>
      <c r="S506" s="1">
        <v>0</v>
      </c>
      <c r="T506" s="1">
        <v>5.7142857100000001E-3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FormatAA">
                <anchor moveWithCells="1" sizeWithCells="1">
                  <from>
                    <xdr:col>21</xdr:col>
                    <xdr:colOff>1409700</xdr:colOff>
                    <xdr:row>8</xdr:row>
                    <xdr:rowOff>12700</xdr:rowOff>
                  </from>
                  <to>
                    <xdr:col>26</xdr:col>
                    <xdr:colOff>152400</xdr:colOff>
                    <xdr:row>20</xdr:row>
                    <xdr:rowOff>127000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aa codes</vt:lpstr>
      <vt:lpstr>Sheet2</vt:lpstr>
      <vt:lpstr>Sheet3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Guest</dc:creator>
  <cp:lastModifiedBy>Guest</cp:lastModifiedBy>
  <dcterms:created xsi:type="dcterms:W3CDTF">2017-07-18T17:43:22Z</dcterms:created>
  <dcterms:modified xsi:type="dcterms:W3CDTF">2017-08-29T13:06:39Z</dcterms:modified>
</cp:coreProperties>
</file>